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mc:AlternateContent xmlns:mc="http://schemas.openxmlformats.org/markup-compatibility/2006">
    <mc:Choice Requires="x15">
      <x15ac:absPath xmlns:x15ac="http://schemas.microsoft.com/office/spreadsheetml/2010/11/ac" url="/Users/joycedesouza/Downloads/"/>
    </mc:Choice>
  </mc:AlternateContent>
  <xr:revisionPtr revIDLastSave="0" documentId="8_{F6A42269-2130-8748-9709-80D3473060D3}" xr6:coauthVersionLast="47" xr6:coauthVersionMax="47" xr10:uidLastSave="{00000000-0000-0000-0000-000000000000}"/>
  <bookViews>
    <workbookView xWindow="340" yWindow="520" windowWidth="28040" windowHeight="16080" activeTab="2" xr2:uid="{4C2302B2-FFDB-B143-B6A5-C7BD4553CE79}"/>
  </bookViews>
  <sheets>
    <sheet name="Inventory_Management_Raw_Data" sheetId="1" r:id="rId1"/>
    <sheet name="Pivot Tables" sheetId="3" r:id="rId2"/>
    <sheet name="Dashboard" sheetId="5" r:id="rId3"/>
  </sheets>
  <definedNames>
    <definedName name="Slicer_Category">#N/A</definedName>
    <definedName name="Slicer_Status">#N/A</definedName>
    <definedName name="Slicer_Supplier">#N/A</definedName>
    <definedName name="Slicer_Warehouse">#N/A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A5" i="5"/>
  <c r="K5" i="5"/>
  <c r="I5" i="5"/>
  <c r="G5" i="5"/>
  <c r="E5" i="5"/>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alcChain>
</file>

<file path=xl/sharedStrings.xml><?xml version="1.0" encoding="utf-8"?>
<sst xmlns="http://schemas.openxmlformats.org/spreadsheetml/2006/main" count="3101" uniqueCount="575">
  <si>
    <t>Product ID</t>
  </si>
  <si>
    <t>Product Name</t>
  </si>
  <si>
    <t>Category</t>
  </si>
  <si>
    <t>Supplier</t>
  </si>
  <si>
    <t>Unit Cost</t>
  </si>
  <si>
    <t>Unit Price</t>
  </si>
  <si>
    <t>Quantity in Stock</t>
  </si>
  <si>
    <t>Reorder Level</t>
  </si>
  <si>
    <t>Warehouse</t>
  </si>
  <si>
    <t>Purchase Date</t>
  </si>
  <si>
    <t>Last Restocked</t>
  </si>
  <si>
    <t>Status</t>
  </si>
  <si>
    <t>P001</t>
  </si>
  <si>
    <t>Cabinet</t>
  </si>
  <si>
    <t>Furniture</t>
  </si>
  <si>
    <t>OfficePro</t>
  </si>
  <si>
    <t>Cork</t>
  </si>
  <si>
    <t>Low Stock</t>
  </si>
  <si>
    <t>P002</t>
  </si>
  <si>
    <t>TechSource Ltd</t>
  </si>
  <si>
    <t>P003</t>
  </si>
  <si>
    <t>Folder</t>
  </si>
  <si>
    <t>Office Supplies</t>
  </si>
  <si>
    <t>In Stock</t>
  </si>
  <si>
    <t>P004</t>
  </si>
  <si>
    <t>Desk</t>
  </si>
  <si>
    <t>DigiSupply</t>
  </si>
  <si>
    <t>P005</t>
  </si>
  <si>
    <t>Mouse Pad</t>
  </si>
  <si>
    <t>Accessories</t>
  </si>
  <si>
    <t>Workspace Solutions</t>
  </si>
  <si>
    <t>Dublin</t>
  </si>
  <si>
    <t>P006</t>
  </si>
  <si>
    <t>Keyboard</t>
  </si>
  <si>
    <t>Electronics</t>
  </si>
  <si>
    <t>Nova Supplies</t>
  </si>
  <si>
    <t>P007</t>
  </si>
  <si>
    <t>Notebook</t>
  </si>
  <si>
    <t>P008</t>
  </si>
  <si>
    <t>P009</t>
  </si>
  <si>
    <t>Elite Traders</t>
  </si>
  <si>
    <t>P010</t>
  </si>
  <si>
    <t>Laptop</t>
  </si>
  <si>
    <t>Galway</t>
  </si>
  <si>
    <t>P011</t>
  </si>
  <si>
    <t>P012</t>
  </si>
  <si>
    <t>Bookshelf</t>
  </si>
  <si>
    <t>P013</t>
  </si>
  <si>
    <t>Office Chair</t>
  </si>
  <si>
    <t>P014</t>
  </si>
  <si>
    <t>Headset</t>
  </si>
  <si>
    <t>P015</t>
  </si>
  <si>
    <t>Marker</t>
  </si>
  <si>
    <t>P016</t>
  </si>
  <si>
    <t>P017</t>
  </si>
  <si>
    <t>P018</t>
  </si>
  <si>
    <t>P019</t>
  </si>
  <si>
    <t>USB Drive</t>
  </si>
  <si>
    <t>P020</t>
  </si>
  <si>
    <t>P021</t>
  </si>
  <si>
    <t>Webcam</t>
  </si>
  <si>
    <t>P022</t>
  </si>
  <si>
    <t>P023</t>
  </si>
  <si>
    <t>Stapler</t>
  </si>
  <si>
    <t>P024</t>
  </si>
  <si>
    <t>Pen Pack</t>
  </si>
  <si>
    <t>P025</t>
  </si>
  <si>
    <t>P026</t>
  </si>
  <si>
    <t>Mouse</t>
  </si>
  <si>
    <t>P027</t>
  </si>
  <si>
    <t>Meeting Table</t>
  </si>
  <si>
    <t>P028</t>
  </si>
  <si>
    <t>P029</t>
  </si>
  <si>
    <t>P030</t>
  </si>
  <si>
    <t>Laptop Bag</t>
  </si>
  <si>
    <t>P031</t>
  </si>
  <si>
    <t>P032</t>
  </si>
  <si>
    <t>P033</t>
  </si>
  <si>
    <t>P034</t>
  </si>
  <si>
    <t>P035</t>
  </si>
  <si>
    <t>P036</t>
  </si>
  <si>
    <t>P037</t>
  </si>
  <si>
    <t>P038</t>
  </si>
  <si>
    <t>P039</t>
  </si>
  <si>
    <t>P040</t>
  </si>
  <si>
    <t>P041</t>
  </si>
  <si>
    <t>P042</t>
  </si>
  <si>
    <t>HDMI Cable</t>
  </si>
  <si>
    <t>P043</t>
  </si>
  <si>
    <t>P044</t>
  </si>
  <si>
    <t>P045</t>
  </si>
  <si>
    <t>P046</t>
  </si>
  <si>
    <t>P047</t>
  </si>
  <si>
    <t>P048</t>
  </si>
  <si>
    <t>P049</t>
  </si>
  <si>
    <t>P050</t>
  </si>
  <si>
    <t>P051</t>
  </si>
  <si>
    <t>P052</t>
  </si>
  <si>
    <t>P053</t>
  </si>
  <si>
    <t>P054</t>
  </si>
  <si>
    <t>P055</t>
  </si>
  <si>
    <t>P056</t>
  </si>
  <si>
    <t>P057</t>
  </si>
  <si>
    <t>P058</t>
  </si>
  <si>
    <t>Docking Station</t>
  </si>
  <si>
    <t>P059</t>
  </si>
  <si>
    <t>P060</t>
  </si>
  <si>
    <t>P061</t>
  </si>
  <si>
    <t>P062</t>
  </si>
  <si>
    <t>P063</t>
  </si>
  <si>
    <t>P064</t>
  </si>
  <si>
    <t>P065</t>
  </si>
  <si>
    <t>P066</t>
  </si>
  <si>
    <t>P067</t>
  </si>
  <si>
    <t>P068</t>
  </si>
  <si>
    <t>P069</t>
  </si>
  <si>
    <t>Paper Ream</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</si>
  <si>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</si>
  <si>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</si>
  <si>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</si>
  <si>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</si>
  <si>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</si>
  <si>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</si>
  <si>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</si>
  <si>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</si>
  <si>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</si>
  <si>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</si>
  <si>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</si>
  <si>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</si>
  <si>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</si>
  <si>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</si>
  <si>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</si>
  <si>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</si>
  <si>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</si>
  <si>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</si>
  <si>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</si>
  <si>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</si>
  <si>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</si>
  <si>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</si>
  <si>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</si>
  <si>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</si>
  <si>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</si>
  <si>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</si>
  <si>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</si>
  <si>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</si>
  <si>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</si>
  <si>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</si>
  <si>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</si>
  <si>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</si>
  <si>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</si>
  <si>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</si>
  <si>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</si>
  <si>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</si>
  <si>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Printer</t>
  </si>
  <si>
    <t>P106</t>
  </si>
  <si>
    <t>P107</t>
  </si>
  <si>
    <t>P108</t>
  </si>
  <si>
    <t>P109</t>
  </si>
  <si>
    <t>P110</t>
  </si>
  <si>
    <t>P111</t>
  </si>
  <si>
    <t>P112</t>
  </si>
  <si>
    <t>Monitor</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</si>
  <si>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</si>
  <si>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</si>
  <si>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</si>
  <si>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</si>
  <si>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</si>
  <si>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</si>
  <si>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</si>
  <si>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</si>
  <si>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</si>
  <si>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</si>
  <si>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</si>
  <si>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</si>
  <si>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</si>
  <si>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</si>
  <si>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</si>
  <si>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</si>
  <si>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</si>
  <si>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</si>
  <si>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</si>
  <si>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</si>
  <si>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</si>
  <si>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</si>
  <si>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</si>
  <si>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</si>
  <si>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</si>
  <si>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</si>
  <si>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</si>
  <si>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</si>
  <si>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</si>
  <si>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</si>
  <si>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</si>
  <si>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</si>
  <si>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</si>
  <si>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</si>
  <si>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</si>
  <si>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</si>
  <si>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</si>
  <si>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</si>
  <si>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</si>
  <si>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</si>
  <si>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</si>
  <si>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</si>
  <si>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</si>
  <si>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</si>
  <si>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</si>
  <si>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</si>
  <si>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</si>
  <si>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</si>
  <si>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</si>
  <si>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</si>
  <si>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</si>
  <si>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</si>
  <si>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</si>
  <si>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</si>
  <si>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</si>
  <si>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</si>
  <si>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</si>
  <si>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</si>
  <si>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</si>
  <si>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</si>
  <si>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</si>
  <si>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</si>
  <si>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</si>
  <si>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</si>
  <si>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</si>
  <si>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</si>
  <si>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</si>
  <si>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</si>
  <si>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</si>
  <si>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</si>
  <si>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</si>
  <si>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</si>
  <si>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</si>
  <si>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</si>
  <si>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</si>
  <si>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</si>
  <si>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</si>
  <si>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</si>
  <si>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</si>
  <si>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</si>
  <si>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</si>
  <si>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</si>
  <si>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</si>
  <si>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</si>
  <si>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</si>
  <si>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</si>
  <si>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</si>
  <si>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</si>
  <si>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</si>
  <si>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</si>
  <si>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</si>
  <si>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</si>
  <si>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</si>
  <si>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</si>
  <si>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</si>
  <si>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</si>
  <si>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</si>
  <si>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</si>
  <si>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</si>
  <si>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</si>
  <si>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</si>
  <si>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</si>
  <si>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</si>
  <si>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</si>
  <si>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</si>
  <si>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</si>
  <si>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</si>
  <si>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</si>
  <si>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</si>
  <si>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</si>
  <si>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</si>
  <si>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</si>
  <si>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</si>
  <si>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</si>
  <si>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</si>
  <si>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</si>
  <si>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</si>
  <si>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</si>
  <si>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</si>
  <si>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</si>
  <si>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</si>
  <si>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</si>
  <si>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</si>
  <si>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</si>
  <si>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</si>
  <si>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</si>
  <si>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</si>
  <si>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</si>
  <si>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</si>
  <si>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</si>
  <si>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</si>
  <si>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</si>
  <si>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</si>
  <si>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</si>
  <si>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</si>
  <si>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</si>
  <si>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</si>
  <si>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</si>
  <si>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</si>
  <si>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</si>
  <si>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</si>
  <si>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</si>
  <si>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</si>
  <si>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</si>
  <si>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</si>
  <si>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</si>
  <si>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</si>
  <si>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</si>
  <si>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</si>
  <si>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</si>
  <si>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</si>
  <si>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</si>
  <si>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</si>
  <si>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</si>
  <si>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</si>
  <si>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</si>
  <si>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</si>
  <si>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</si>
  <si>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</si>
  <si>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</si>
  <si>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</si>
  <si>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Out of Stock</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</si>
  <si>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</si>
  <si>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</si>
  <si>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</si>
  <si>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</si>
  <si>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</si>
  <si>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</si>
  <si>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</si>
  <si>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</si>
  <si>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</si>
  <si>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</si>
  <si>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</si>
  <si>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</si>
  <si>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</si>
  <si>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</si>
  <si>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</si>
  <si>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</si>
  <si>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</si>
  <si>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</si>
  <si>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</si>
  <si>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</si>
  <si>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</si>
  <si>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</si>
  <si>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</si>
  <si>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</si>
  <si>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</si>
  <si>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</si>
  <si>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</si>
  <si>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</si>
  <si>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</si>
  <si>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</si>
  <si>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</si>
  <si>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</si>
  <si>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</si>
  <si>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</si>
  <si>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</si>
  <si>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</si>
  <si>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</si>
  <si>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</si>
  <si>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</si>
  <si>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</si>
  <si>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</si>
  <si>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</si>
  <si>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</si>
  <si>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</si>
  <si>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</si>
  <si>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</si>
  <si>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</si>
  <si>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</si>
  <si>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</si>
  <si>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</si>
  <si>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</si>
  <si>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</si>
  <si>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</si>
  <si>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</si>
  <si>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</si>
  <si>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</si>
  <si>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</si>
  <si>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</si>
  <si>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</si>
  <si>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</si>
  <si>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</si>
  <si>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</si>
  <si>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</si>
  <si>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</si>
  <si>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</si>
  <si>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</si>
  <si>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</si>
  <si>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</si>
  <si>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</si>
  <si>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</si>
  <si>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</si>
  <si>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</si>
  <si>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</si>
  <si>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</si>
  <si>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</si>
  <si>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</si>
  <si>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</si>
  <si>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</si>
  <si>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</si>
  <si>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</si>
  <si>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</si>
  <si>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</si>
  <si>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</si>
  <si>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</si>
  <si>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</si>
  <si>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</si>
  <si>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</si>
  <si>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</si>
  <si>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</si>
  <si>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</si>
  <si>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</si>
  <si>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</si>
  <si>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</si>
  <si>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</si>
  <si>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</si>
  <si>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</si>
  <si>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</si>
  <si>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</si>
  <si>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</si>
  <si>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</si>
  <si>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</si>
  <si>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</si>
  <si>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</si>
  <si>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</si>
  <si>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</si>
  <si>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</si>
  <si>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</si>
  <si>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</si>
  <si>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</si>
  <si>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</si>
  <si>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</si>
  <si>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</si>
  <si>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</si>
  <si>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</si>
  <si>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</si>
  <si>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</si>
  <si>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</si>
  <si>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</si>
  <si>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</si>
  <si>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</si>
  <si>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</si>
  <si>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</si>
  <si>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</si>
  <si>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</si>
  <si>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</si>
  <si>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</si>
  <si>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</si>
  <si>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</si>
  <si>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</si>
  <si>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</si>
  <si>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</si>
  <si>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</si>
  <si>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</si>
  <si>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</si>
  <si>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</si>
  <si>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</si>
  <si>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</si>
  <si>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</si>
  <si>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</si>
  <si>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</si>
  <si>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</si>
  <si>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</si>
  <si>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</si>
  <si>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</si>
  <si>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</si>
  <si>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</si>
  <si>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</si>
  <si>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</si>
  <si>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</si>
  <si>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</si>
  <si>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</si>
  <si>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</si>
  <si>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</si>
  <si>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</si>
  <si>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</si>
  <si>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</si>
  <si>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</si>
  <si>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</si>
  <si>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</si>
  <si>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</si>
  <si>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</si>
  <si>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</si>
  <si>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</si>
  <si>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</si>
  <si>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</si>
  <si>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</si>
  <si>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</si>
  <si>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</si>
  <si>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</si>
  <si>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</si>
  <si>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</si>
  <si>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</si>
  <si>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</si>
  <si>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</si>
  <si>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</si>
  <si>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</si>
  <si>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</si>
  <si>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</si>
  <si>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</si>
  <si>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</si>
  <si>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</si>
  <si>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</si>
  <si>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</si>
  <si>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</si>
  <si>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</si>
  <si>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</si>
  <si>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</si>
  <si>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</si>
  <si>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</si>
  <si>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</si>
  <si>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</si>
  <si>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</si>
  <si>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</si>
  <si>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</si>
  <si>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</si>
  <si>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</si>
  <si>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</si>
  <si>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</si>
  <si>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</si>
  <si>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</si>
  <si>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</si>
  <si>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</si>
  <si>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</si>
  <si>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</si>
  <si>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</si>
  <si>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</si>
  <si>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</si>
  <si>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</si>
  <si>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</si>
  <si>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</si>
  <si>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</si>
  <si>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</si>
  <si>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</si>
  <si>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</si>
  <si>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</si>
  <si>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</si>
  <si>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</si>
  <si>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</si>
  <si>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</si>
  <si>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</si>
  <si>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</si>
  <si>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</si>
  <si>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</si>
  <si>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</si>
  <si>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</si>
  <si>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</si>
  <si>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</si>
  <si>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Grand Total</t>
  </si>
  <si>
    <t>Sum of Quantity in Stock</t>
  </si>
  <si>
    <t>Inventory Value</t>
  </si>
  <si>
    <t>Sum of Inventory Value</t>
  </si>
  <si>
    <t>Count of Product ID</t>
  </si>
  <si>
    <t>2025</t>
  </si>
  <si>
    <t>2026</t>
  </si>
  <si>
    <t>Jan</t>
  </si>
  <si>
    <t>Feb</t>
  </si>
  <si>
    <t>Mar</t>
  </si>
  <si>
    <t>Apr</t>
  </si>
  <si>
    <t>May</t>
  </si>
  <si>
    <t>Jun</t>
  </si>
  <si>
    <t>Average of Unit Price</t>
  </si>
  <si>
    <t>Inventory Management Dashboard</t>
  </si>
  <si>
    <t>Total Products</t>
  </si>
  <si>
    <t>Total Quantity</t>
  </si>
  <si>
    <t>Jul</t>
  </si>
  <si>
    <t>Aug</t>
  </si>
  <si>
    <t>Sep</t>
  </si>
  <si>
    <t>Oct</t>
  </si>
  <si>
    <t>Nov</t>
  </si>
  <si>
    <t>Dec</t>
  </si>
  <si>
    <t>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</si>
</sst>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1" x14ac:knownFonts="1">
    <font>
      <sz val="12"/>
      <color theme="1"/>
      <name val="Trebuchet MS"/>
      <family val="2"/>
      <scheme val="minor"/>
    </font>
    <font>
      <sz val="12"/>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2"/>
      <color rgb="FF006100"/>
      <name val="Trebuchet MS"/>
      <family val="2"/>
      <scheme val="minor"/>
    </font>
    <font>
      <sz val="12"/>
      <color rgb="FF9C0006"/>
      <name val="Trebuchet MS"/>
      <family val="2"/>
      <scheme val="minor"/>
    </font>
    <font>
      <sz val="12"/>
      <color rgb="FF9C5700"/>
      <name val="Trebuchet MS"/>
      <family val="2"/>
      <scheme val="minor"/>
    </font>
    <font>
      <sz val="12"/>
      <color rgb="FF3F3F76"/>
      <name val="Trebuchet MS"/>
      <family val="2"/>
      <scheme val="minor"/>
    </font>
    <font>
      <b/>
      <sz val="12"/>
      <color rgb="FF3F3F3F"/>
      <name val="Trebuchet MS"/>
      <family val="2"/>
      <scheme val="minor"/>
    </font>
    <font>
      <b/>
      <sz val="12"/>
      <color rgb="FFFA7D00"/>
      <name val="Trebuchet MS"/>
      <family val="2"/>
      <scheme val="minor"/>
    </font>
    <font>
      <sz val="12"/>
      <color rgb="FFFA7D00"/>
      <name val="Trebuchet MS"/>
      <family val="2"/>
      <scheme val="minor"/>
    </font>
    <font>
      <b/>
      <sz val="12"/>
      <color theme="0"/>
      <name val="Trebuchet MS"/>
      <family val="2"/>
      <scheme val="minor"/>
    </font>
    <font>
      <sz val="12"/>
      <color rgb="FFFF0000"/>
      <name val="Trebuchet MS"/>
      <family val="2"/>
      <scheme val="minor"/>
    </font>
    <font>
      <i/>
      <sz val="12"/>
      <color rgb="FF7F7F7F"/>
      <name val="Trebuchet MS"/>
      <family val="2"/>
      <scheme val="minor"/>
    </font>
    <font>
      <b/>
      <sz val="12"/>
      <color theme="1"/>
      <name val="Trebuchet MS"/>
      <family val="2"/>
      <scheme val="minor"/>
    </font>
    <font>
      <sz val="12"/>
      <color theme="0"/>
      <name val="Trebuchet MS"/>
      <family val="2"/>
      <scheme val="minor"/>
    </font>
    <font>
      <b/>
      <sz val="24"/>
      <color theme="0"/>
      <name val="Aptos Narrow (Body)"/>
    </font>
    <font>
      <b/>
      <sz val="14"/>
      <color theme="1"/>
      <name val="Trebuchet MS"/>
      <family val="1"/>
      <scheme val="minor"/>
    </font>
    <font>
      <b/>
      <sz val="20"/>
      <color theme="1"/>
      <name val="Trebuchet MS"/>
      <family val="1"/>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4"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theme="3" tint="0.249977111117893"/>
      </top>
      <bottom/>
      <diagonal/>
    </border>
    <border>
      <left/>
      <right style="thin">
        <color indexed="64"/>
      </right>
      <top style="thin">
        <color theme="3" tint="0.249977111117893"/>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18" fillId="33" borderId="0" xfId="0" applyFont="1" applyFill="1" applyAlignment="1">
      <alignment horizontal="center"/>
    </xf>
    <xf numFmtId="0" fontId="0" fillId="0" borderId="0" xfId="0" applyNumberFormat="1"/>
    <xf numFmtId="0" fontId="16" fillId="0" borderId="0" xfId="0" applyFont="1"/>
    <xf numFmtId="0" fontId="19" fillId="34" borderId="14" xfId="0" applyFont="1" applyFill="1" applyBorder="1" applyAlignment="1">
      <alignment horizontal="center"/>
    </xf>
    <xf numFmtId="0" fontId="19" fillId="34" borderId="15" xfId="0" applyFont="1" applyFill="1" applyBorder="1" applyAlignment="1">
      <alignment horizontal="center"/>
    </xf>
    <xf numFmtId="0" fontId="19" fillId="34" borderId="10" xfId="0" applyFont="1" applyFill="1" applyBorder="1" applyAlignment="1">
      <alignment horizontal="center"/>
    </xf>
    <xf numFmtId="0" fontId="19" fillId="34" borderId="11" xfId="0" applyFont="1" applyFill="1" applyBorder="1" applyAlignment="1">
      <alignment horizontal="center"/>
    </xf>
    <xf numFmtId="0" fontId="20" fillId="34" borderId="12" xfId="0" applyFont="1" applyFill="1" applyBorder="1" applyAlignment="1">
      <alignment horizontal="center"/>
    </xf>
    <xf numFmtId="0" fontId="20" fillId="34" borderId="13" xfId="0" applyFont="1" applyFill="1" applyBorder="1" applyAlignment="1">
      <alignment horizontal="center"/>
    </xf>
    <xf numFmtId="164" fontId="20" fillId="34" borderId="12" xfId="0" applyNumberFormat="1" applyFont="1" applyFill="1" applyBorder="1" applyAlignment="1">
      <alignment horizontal="center"/>
    </xf>
    <xf numFmtId="164" fontId="20" fillId="34" borderId="13" xfId="0" applyNumberFormat="1" applyFont="1" applyFill="1" applyBorder="1" applyAlignment="1">
      <alignment horizontal="center"/>
    </xf>
    <xf numFmtId="164"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5" formatCode="&quot;€&quot;#,##0.00"/>
    </dxf>
    <dxf>
      <numFmt numFmtId="164" formatCode="&quot;€&quot;#,##0"/>
    </dxf>
    <dxf>
      <numFmt numFmtId="165" formatCode="&quot;€&quot;#,##0.00"/>
    </dxf>
    <dxf>
      <numFmt numFmtId="164" formatCode="&quot;€&quot;#,##0"/>
    </dxf>
    <dxf>
      <numFmt numFmtId="165" formatCode="&quot;€&quot;#,##0.00"/>
    </dxf>
    <dxf>
      <numFmt numFmtId="164" formatCode="&quot;€&quot;#,##0"/>
    </dxf>
    <dxf>
      <numFmt numFmtId="165" formatCode="&quot;€&quot;#,##0.00"/>
    </dxf>
    <dxf>
      <numFmt numFmtId="164" formatCode="&quot;€&quot;#,##0"/>
    </dxf>
    <dxf>
      <numFmt numFmtId="165" formatCode="&quot;€&quot;#,##0.00"/>
    </dxf>
    <dxf>
      <numFmt numFmtId="164" formatCode="&quot;€&quot;#,##0"/>
    </dxf>
    <dxf>
      <numFmt numFmtId="165" formatCode="&quot;€&quot;#,##0.00"/>
    </dxf>
    <dxf>
      <numFmt numFmtId="164" formatCode="&quot;€&quot;#,##0"/>
    </dxf>
    <dxf>
      <numFmt numFmtId="164" formatCode="&quot;€&quot;#,##0"/>
    </dxf>
    <dxf>
      <numFmt numFmtId="165" formatCode="&quot;€&quot;#,##0.00"/>
    </dxf>
    <dxf>
      <numFmt numFmtId="164" formatCode="&quot;€&quot;#,##0"/>
    </dxf>
    <dxf>
      <numFmt numFmtId="165" formatCode="&quot;€&quot;#,##0.00"/>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Tables!Inventory by Category</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Inventory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Accessories</c:v>
                </c:pt>
                <c:pt idx="1">
                  <c:v>Electronics</c:v>
                </c:pt>
                <c:pt idx="2">
                  <c:v>Furniture</c:v>
                </c:pt>
                <c:pt idx="3">
                  <c:v>Office Supplies</c:v>
                </c:pt>
              </c:strCache>
            </c:strRef>
          </c:cat>
          <c:val>
            <c:numRef>
              <c:f>'Pivot Tables'!$B$4:$B$8</c:f>
              <c:numCache>
                <c:formatCode>General</c:formatCode>
                <c:ptCount val="4"/>
                <c:pt idx="0">
                  <c:v>19264</c:v>
                </c:pt>
                <c:pt idx="1">
                  <c:v>17263</c:v>
                </c:pt>
                <c:pt idx="2">
                  <c:v>20390</c:v>
                </c:pt>
                <c:pt idx="3">
                  <c:v>21050</c:v>
                </c:pt>
              </c:numCache>
            </c:numRef>
          </c:val>
          <c:extLst>
            <c:ext xmlns:c16="http://schemas.microsoft.com/office/drawing/2014/chart" uri="{C3380CC4-5D6E-409C-BE32-E72D297353CC}">
              <c16:uniqueId val="{00000000-6FD5-E846-A9B6-84E5BB1F35DD}"/>
            </c:ext>
          </c:extLst>
        </c:ser>
        <c:dLbls>
          <c:showLegendKey val="0"/>
          <c:showVal val="0"/>
          <c:showCatName val="0"/>
          <c:showSerName val="0"/>
          <c:showPercent val="0"/>
          <c:showBubbleSize val="0"/>
        </c:dLbls>
        <c:gapWidth val="219"/>
        <c:overlap val="-27"/>
        <c:axId val="1703530176"/>
        <c:axId val="499358447"/>
      </c:barChart>
      <c:catAx>
        <c:axId val="170353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99358447"/>
        <c:crosses val="autoZero"/>
        <c:auto val="1"/>
        <c:lblAlgn val="ctr"/>
        <c:lblOffset val="100"/>
        <c:noMultiLvlLbl val="0"/>
      </c:catAx>
      <c:valAx>
        <c:axId val="49935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353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Tables!Inventory Value by Warehouse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Inventory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solidFill>
              <a:schemeClr val="accent1"/>
            </a:solidFill>
            <a:ln>
              <a:noFill/>
            </a:ln>
            <a:effectLst/>
          </c:spPr>
          <c:invertIfNegative val="0"/>
          <c:cat>
            <c:strRef>
              <c:f>'Pivot Tables'!$A$12:$A$15</c:f>
              <c:strCache>
                <c:ptCount val="3"/>
                <c:pt idx="0">
                  <c:v>Cork</c:v>
                </c:pt>
                <c:pt idx="1">
                  <c:v>Dublin</c:v>
                </c:pt>
                <c:pt idx="2">
                  <c:v>Galway</c:v>
                </c:pt>
              </c:strCache>
            </c:strRef>
          </c:cat>
          <c:val>
            <c:numRef>
              <c:f>'Pivot Tables'!$B$12:$B$15</c:f>
              <c:numCache>
                <c:formatCode>"€"#,##0</c:formatCode>
                <c:ptCount val="3"/>
                <c:pt idx="0">
                  <c:v>9024972</c:v>
                </c:pt>
                <c:pt idx="1">
                  <c:v>8256437</c:v>
                </c:pt>
                <c:pt idx="2">
                  <c:v>9137034</c:v>
                </c:pt>
              </c:numCache>
            </c:numRef>
          </c:val>
          <c:extLst>
            <c:ext xmlns:c16="http://schemas.microsoft.com/office/drawing/2014/chart" uri="{C3380CC4-5D6E-409C-BE32-E72D297353CC}">
              <c16:uniqueId val="{00000002-A53B-564F-B3E9-CC1AA4630C01}"/>
            </c:ext>
          </c:extLst>
        </c:ser>
        <c:dLbls>
          <c:showLegendKey val="0"/>
          <c:showVal val="0"/>
          <c:showCatName val="0"/>
          <c:showSerName val="0"/>
          <c:showPercent val="0"/>
          <c:showBubbleSize val="0"/>
        </c:dLbls>
        <c:gapWidth val="182"/>
        <c:axId val="1703530176"/>
        <c:axId val="499358447"/>
      </c:barChart>
      <c:catAx>
        <c:axId val="17035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58447"/>
        <c:crossesAt val="7800000"/>
        <c:auto val="1"/>
        <c:lblAlgn val="ctr"/>
        <c:lblOffset val="100"/>
        <c:noMultiLvlLbl val="0"/>
      </c:catAx>
      <c:valAx>
        <c:axId val="4993584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0353017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Tables!Stock Status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Stock</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'Pivot Tables'!$B$19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C12-8D4C-84FF-BE4FB11BCC10}"/>
              </c:ext>
            </c:extLst>
          </c:dPt>
          <c:dPt>
            <c:idx val="1"/>
            <c:bubble3D val="0"/>
            <c:spPr>
              <a:solidFill>
                <a:schemeClr val="accent2"/>
              </a:solidFill>
              <a:ln>
                <a:noFill/>
              </a:ln>
              <a:effectLst/>
            </c:spPr>
            <c:extLst>
              <c:ext xmlns:c16="http://schemas.microsoft.com/office/drawing/2014/chart" uri="{C3380CC4-5D6E-409C-BE32-E72D297353CC}">
                <c16:uniqueId val="{00000003-EC12-8D4C-84FF-BE4FB11BCC10}"/>
              </c:ext>
            </c:extLst>
          </c:dPt>
          <c:dPt>
            <c:idx val="2"/>
            <c:bubble3D val="0"/>
            <c:spPr>
              <a:solidFill>
                <a:schemeClr val="accent3"/>
              </a:solidFill>
              <a:ln>
                <a:noFill/>
              </a:ln>
              <a:effectLst/>
            </c:spPr>
            <c:extLst>
              <c:ext xmlns:c16="http://schemas.microsoft.com/office/drawing/2014/chart" uri="{C3380CC4-5D6E-409C-BE32-E72D297353CC}">
                <c16:uniqueId val="{00000005-EC12-8D4C-84FF-BE4FB11BCC10}"/>
              </c:ext>
            </c:extLst>
          </c:dPt>
          <c:cat>
            <c:strRef>
              <c:f>'Pivot Tables'!$A$20:$A$23</c:f>
              <c:strCache>
                <c:ptCount val="3"/>
                <c:pt idx="0">
                  <c:v>In Stock</c:v>
                </c:pt>
                <c:pt idx="1">
                  <c:v>Low Stock</c:v>
                </c:pt>
                <c:pt idx="2">
                  <c:v>Out of Stock</c:v>
                </c:pt>
              </c:strCache>
            </c:strRef>
          </c:cat>
          <c:val>
            <c:numRef>
              <c:f>'Pivot Tables'!$B$20:$B$23</c:f>
              <c:numCache>
                <c:formatCode>General</c:formatCode>
                <c:ptCount val="3"/>
                <c:pt idx="0">
                  <c:v>458</c:v>
                </c:pt>
                <c:pt idx="1">
                  <c:v>40</c:v>
                </c:pt>
                <c:pt idx="2">
                  <c:v>2</c:v>
                </c:pt>
              </c:numCache>
            </c:numRef>
          </c:val>
          <c:extLst>
            <c:ext xmlns:c16="http://schemas.microsoft.com/office/drawing/2014/chart" uri="{C3380CC4-5D6E-409C-BE32-E72D297353CC}">
              <c16:uniqueId val="{00000000-A11F-8F4F-A3DB-D423D5AF498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848137852657225"/>
          <c:y val="0.42154512760006829"/>
          <c:w val="0.24822840750098282"/>
          <c:h val="0.2510589848572080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Tables!Monthly Purchases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Purchases Trend(2025-2026)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Tables'!$E$17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Tables'!$D$18:$D$38</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2025</c:v>
                  </c:pt>
                  <c:pt idx="12">
                    <c:v>2026</c:v>
                  </c:pt>
                </c:lvl>
              </c:multiLvlStrCache>
            </c:multiLvlStrRef>
          </c:cat>
          <c:val>
            <c:numRef>
              <c:f>'Pivot Tables'!$E$18:$E$38</c:f>
              <c:numCache>
                <c:formatCode>General</c:formatCode>
                <c:ptCount val="18"/>
                <c:pt idx="0">
                  <c:v>26</c:v>
                </c:pt>
                <c:pt idx="1">
                  <c:v>23</c:v>
                </c:pt>
                <c:pt idx="2">
                  <c:v>33</c:v>
                </c:pt>
                <c:pt idx="3">
                  <c:v>32</c:v>
                </c:pt>
                <c:pt idx="4">
                  <c:v>37</c:v>
                </c:pt>
                <c:pt idx="5">
                  <c:v>24</c:v>
                </c:pt>
                <c:pt idx="6">
                  <c:v>31</c:v>
                </c:pt>
                <c:pt idx="7">
                  <c:v>29</c:v>
                </c:pt>
                <c:pt idx="8">
                  <c:v>21</c:v>
                </c:pt>
                <c:pt idx="9">
                  <c:v>26</c:v>
                </c:pt>
                <c:pt idx="10">
                  <c:v>23</c:v>
                </c:pt>
                <c:pt idx="11">
                  <c:v>31</c:v>
                </c:pt>
                <c:pt idx="12">
                  <c:v>38</c:v>
                </c:pt>
                <c:pt idx="13">
                  <c:v>31</c:v>
                </c:pt>
                <c:pt idx="14">
                  <c:v>31</c:v>
                </c:pt>
                <c:pt idx="15">
                  <c:v>31</c:v>
                </c:pt>
                <c:pt idx="16">
                  <c:v>24</c:v>
                </c:pt>
                <c:pt idx="17">
                  <c:v>9</c:v>
                </c:pt>
              </c:numCache>
            </c:numRef>
          </c:val>
          <c:smooth val="0"/>
          <c:extLst>
            <c:ext xmlns:c16="http://schemas.microsoft.com/office/drawing/2014/chart" uri="{C3380CC4-5D6E-409C-BE32-E72D297353CC}">
              <c16:uniqueId val="{00000010-8EAF-374F-A59C-722C0975B6AF}"/>
            </c:ext>
          </c:extLst>
        </c:ser>
        <c:dLbls>
          <c:dLblPos val="ctr"/>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310356960"/>
        <c:axId val="310359600"/>
      </c:lineChart>
      <c:catAx>
        <c:axId val="3103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9600"/>
        <c:auto val="1"/>
        <c:lblAlgn val="ctr"/>
        <c:lblOffset val="100"/>
        <c:noMultiLvlLbl val="0"/>
      </c:catAx>
      <c:valAx>
        <c:axId val="31035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6960"/>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Tables!Top 10 Highest Value Products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Inventory value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Desk</c:v>
                </c:pt>
                <c:pt idx="1">
                  <c:v>Pen Pack</c:v>
                </c:pt>
                <c:pt idx="2">
                  <c:v>Office Chair</c:v>
                </c:pt>
                <c:pt idx="3">
                  <c:v>USB Drive</c:v>
                </c:pt>
                <c:pt idx="4">
                  <c:v>Meeting Table</c:v>
                </c:pt>
                <c:pt idx="5">
                  <c:v>Stapler</c:v>
                </c:pt>
                <c:pt idx="6">
                  <c:v>HDMI Cable</c:v>
                </c:pt>
                <c:pt idx="7">
                  <c:v>Docking Station</c:v>
                </c:pt>
                <c:pt idx="8">
                  <c:v>Mouse</c:v>
                </c:pt>
                <c:pt idx="9">
                  <c:v>Mouse Pad</c:v>
                </c:pt>
              </c:strCache>
            </c:strRef>
          </c:cat>
          <c:val>
            <c:numRef>
              <c:f>'Pivot Tables'!$E$4:$E$14</c:f>
              <c:numCache>
                <c:formatCode>General</c:formatCode>
                <c:ptCount val="10"/>
                <c:pt idx="0">
                  <c:v>1881681</c:v>
                </c:pt>
                <c:pt idx="1">
                  <c:v>1604487</c:v>
                </c:pt>
                <c:pt idx="2">
                  <c:v>1594931</c:v>
                </c:pt>
                <c:pt idx="3">
                  <c:v>1542491</c:v>
                </c:pt>
                <c:pt idx="4">
                  <c:v>1519237</c:v>
                </c:pt>
                <c:pt idx="5">
                  <c:v>1516657</c:v>
                </c:pt>
                <c:pt idx="6">
                  <c:v>1373564</c:v>
                </c:pt>
                <c:pt idx="7">
                  <c:v>1358475</c:v>
                </c:pt>
                <c:pt idx="8">
                  <c:v>1147495</c:v>
                </c:pt>
                <c:pt idx="9">
                  <c:v>1133567</c:v>
                </c:pt>
              </c:numCache>
            </c:numRef>
          </c:val>
          <c:extLst>
            <c:ext xmlns:c16="http://schemas.microsoft.com/office/drawing/2014/chart" uri="{C3380CC4-5D6E-409C-BE32-E72D297353CC}">
              <c16:uniqueId val="{00000000-5B5F-7B47-913B-7DE44C8A26E4}"/>
            </c:ext>
          </c:extLst>
        </c:ser>
        <c:dLbls>
          <c:showLegendKey val="0"/>
          <c:showVal val="0"/>
          <c:showCatName val="0"/>
          <c:showSerName val="0"/>
          <c:showPercent val="0"/>
          <c:showBubbleSize val="0"/>
        </c:dLbls>
        <c:gapWidth val="182"/>
        <c:overlap val="100"/>
        <c:axId val="767737791"/>
        <c:axId val="767739503"/>
      </c:barChart>
      <c:catAx>
        <c:axId val="76773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39503"/>
        <c:crosses val="autoZero"/>
        <c:auto val="1"/>
        <c:lblAlgn val="ctr"/>
        <c:lblOffset val="100"/>
        <c:noMultiLvlLbl val="0"/>
      </c:catAx>
      <c:valAx>
        <c:axId val="767739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3779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241300</xdr:colOff>
      <xdr:row>6</xdr:row>
      <xdr:rowOff>38100</xdr:rowOff>
    </xdr:from>
    <xdr:to>
      <xdr:col>6</xdr:col>
      <xdr:colOff>230886</xdr:colOff>
      <xdr:row>15</xdr:row>
      <xdr:rowOff>166116</xdr:rowOff>
    </xdr:to>
    <xdr:graphicFrame macro="">
      <xdr:nvGraphicFramePr>
        <xdr:cNvPr id="2" name="Inventory by Category">
          <a:extLst>
            <a:ext uri="{FF2B5EF4-FFF2-40B4-BE49-F238E27FC236}">
              <a16:creationId xmlns:a16="http://schemas.microsoft.com/office/drawing/2014/main" id="{24301586-946C-AF44-A2A3-6D4395E18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527050</xdr:colOff>
      <xdr:row>5</xdr:row>
      <xdr:rowOff>192768</xdr:rowOff>
    </xdr:from>
    <xdr:to>
      <xdr:col>12</xdr:col>
      <xdr:colOff>548386</xdr:colOff>
      <xdr:row>15</xdr:row>
      <xdr:rowOff>114409</xdr:rowOff>
    </xdr:to>
    <xdr:graphicFrame macro="">
      <xdr:nvGraphicFramePr>
        <xdr:cNvPr id="3" name="Inventory Value by Warehouse">
          <a:extLst>
            <a:ext uri="{FF2B5EF4-FFF2-40B4-BE49-F238E27FC236}">
              <a16:creationId xmlns:a16="http://schemas.microsoft.com/office/drawing/2014/main" id="{E3B36C51-FAE7-DD46-9C0C-1A4A9717F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241300</xdr:colOff>
      <xdr:row>16</xdr:row>
      <xdr:rowOff>139700</xdr:rowOff>
    </xdr:from>
    <xdr:to>
      <xdr:col>6</xdr:col>
      <xdr:colOff>228092</xdr:colOff>
      <xdr:row>29</xdr:row>
      <xdr:rowOff>168148</xdr:rowOff>
    </xdr:to>
    <xdr:graphicFrame macro="">
      <xdr:nvGraphicFramePr>
        <xdr:cNvPr id="4" name="Stock Status">
          <a:extLst>
            <a:ext uri="{FF2B5EF4-FFF2-40B4-BE49-F238E27FC236}">
              <a16:creationId xmlns:a16="http://schemas.microsoft.com/office/drawing/2014/main" id="{06B7DB56-0B26-6F48-AA5A-D63D3C31C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526143</xdr:colOff>
      <xdr:row>16</xdr:row>
      <xdr:rowOff>88900</xdr:rowOff>
    </xdr:from>
    <xdr:to>
      <xdr:col>12</xdr:col>
      <xdr:colOff>547479</xdr:colOff>
      <xdr:row>29</xdr:row>
      <xdr:rowOff>117348</xdr:rowOff>
    </xdr:to>
    <xdr:graphicFrame macro="">
      <xdr:nvGraphicFramePr>
        <xdr:cNvPr id="6" name="Chart 5">
          <a:extLst>
            <a:ext uri="{FF2B5EF4-FFF2-40B4-BE49-F238E27FC236}">
              <a16:creationId xmlns:a16="http://schemas.microsoft.com/office/drawing/2014/main" id="{EB0E833B-0673-0A44-8196-DD462B210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803576</xdr:colOff>
      <xdr:row>9</xdr:row>
      <xdr:rowOff>165554</xdr:rowOff>
    </xdr:from>
    <xdr:to>
      <xdr:col>14</xdr:col>
      <xdr:colOff>730249</xdr:colOff>
      <xdr:row>20</xdr:row>
      <xdr:rowOff>0</xdr:rowOff>
    </xdr:to>
    <mc:AlternateContent xmlns:mc="http://schemas.openxmlformats.org/markup-compatibility/2006">
      <mc:Choice xmlns:a14="http://schemas.microsoft.com/office/drawing/2010/main" Requires="a14">
        <xdr:graphicFrame macro="">
          <xdr:nvGraphicFramePr>
            <xdr:cNvPr id="8" name="Supplier">
              <a:extLst>
                <a:ext uri="{FF2B5EF4-FFF2-40B4-BE49-F238E27FC236}">
                  <a16:creationId xmlns:a16="http://schemas.microsoft.com/office/drawing/2014/main" id="{5B6DFDD0-1AF0-AA4A-81E2-CE63D9F1A3D8}"/>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0836576" y="2288268"/>
              <a:ext cx="1595816" cy="20297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806300</xdr:colOff>
      <xdr:row>2</xdr:row>
      <xdr:rowOff>57150</xdr:rowOff>
    </xdr:from>
    <xdr:to>
      <xdr:col>14</xdr:col>
      <xdr:colOff>737212</xdr:colOff>
      <xdr:row>9</xdr:row>
      <xdr:rowOff>47625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FA719E4F-154E-C44F-A249-0803156512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839300" y="655864"/>
              <a:ext cx="1600055" cy="1514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657828</xdr:colOff>
      <xdr:row>2</xdr:row>
      <xdr:rowOff>67431</xdr:rowOff>
    </xdr:from>
    <xdr:to>
      <xdr:col>16</xdr:col>
      <xdr:colOff>588740</xdr:colOff>
      <xdr:row>8</xdr:row>
      <xdr:rowOff>5292</xdr:rowOff>
    </xdr:to>
    <mc:AlternateContent xmlns:mc="http://schemas.openxmlformats.org/markup-compatibility/2006">
      <mc:Choice xmlns:a14="http://schemas.microsoft.com/office/drawing/2010/main" Requires="a14">
        <xdr:graphicFrame macro="">
          <xdr:nvGraphicFramePr>
            <xdr:cNvPr id="10" name="Warehouse">
              <a:extLst>
                <a:ext uri="{FF2B5EF4-FFF2-40B4-BE49-F238E27FC236}">
                  <a16:creationId xmlns:a16="http://schemas.microsoft.com/office/drawing/2014/main" id="{D0DB4D72-9579-F543-BB29-C58C5D909762}"/>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12359971" y="666145"/>
              <a:ext cx="1600055" cy="12622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704395</xdr:colOff>
      <xdr:row>9</xdr:row>
      <xdr:rowOff>163892</xdr:rowOff>
    </xdr:from>
    <xdr:to>
      <xdr:col>16</xdr:col>
      <xdr:colOff>635307</xdr:colOff>
      <xdr:row>15</xdr:row>
      <xdr:rowOff>148168</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B999662A-34D5-B846-8440-8B37493C8FD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406538" y="2286606"/>
              <a:ext cx="1600055" cy="11817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183815</xdr:colOff>
      <xdr:row>29</xdr:row>
      <xdr:rowOff>167106</xdr:rowOff>
    </xdr:from>
    <xdr:to>
      <xdr:col>13</xdr:col>
      <xdr:colOff>367632</xdr:colOff>
      <xdr:row>45</xdr:row>
      <xdr:rowOff>66843</xdr:rowOff>
    </xdr:to>
    <xdr:graphicFrame macro="">
      <xdr:nvGraphicFramePr>
        <xdr:cNvPr id="14" name="Chart 13">
          <a:extLst>
            <a:ext uri="{FF2B5EF4-FFF2-40B4-BE49-F238E27FC236}">
              <a16:creationId xmlns:a16="http://schemas.microsoft.com/office/drawing/2014/main" id="{869CCDC7-EC27-91B8-E8AC-98D23278C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 De Souza" refreshedDate="46235.953462847225" createdVersion="8" refreshedVersion="8" minRefreshableVersion="3" recordCount="500" xr:uid="{F68FC98E-380B-A84B-9025-5BA5F1236A25}">
  <cacheSource type="worksheet">
    <worksheetSource name="tblInventory"/>
  </cacheSource>
  <cacheFields count="15">
    <cacheField name="Product ID" numFmtId="0">
      <sharedItems/>
    </cacheField>
    <cacheField name="Product Name" numFmtId="0">
      <sharedItems count="23">
        <s v="Cabinet"/>
        <s v="Folder"/>
        <s v="Desk"/>
        <s v="Mouse Pad"/>
        <s v="Keyboard"/>
        <s v="Notebook"/>
        <s v="Laptop"/>
        <s v="Bookshelf"/>
        <s v="Office Chair"/>
        <s v="Headset"/>
        <s v="Marker"/>
        <s v="USB Drive"/>
        <s v="Webcam"/>
        <s v="Stapler"/>
        <s v="Pen Pack"/>
        <s v="Mouse"/>
        <s v="Meeting Table"/>
        <s v="Laptop Bag"/>
        <s v="HDMI Cable"/>
        <s v="Docking Station"/>
        <s v="Paper Ream"/>
        <s v="Printer"/>
        <s v="Monitor"/>
      </sharedItems>
    </cacheField>
    <cacheField name="Category" numFmtId="0">
      <sharedItems count="4">
        <s v="Furniture"/>
        <s v="Office Supplies"/>
        <s v="Accessories"/>
        <s v="Electronics"/>
      </sharedItems>
    </cacheField>
    <cacheField name="Supplier" numFmtId="0">
      <sharedItems count="6">
        <s v="OfficePro"/>
        <s v="TechSource Ltd"/>
        <s v="DigiSupply"/>
        <s v="Workspace Solutions"/>
        <s v="Nova Supplies"/>
        <s v="Elite Traders"/>
      </sharedItems>
    </cacheField>
    <cacheField name="Unit Cost" numFmtId="0">
      <sharedItems containsSemiMixedTypes="0" containsString="0" containsNumber="1" containsInteger="1" minValue="6" maxValue="699"/>
    </cacheField>
    <cacheField name="Unit Price" numFmtId="0">
      <sharedItems containsSemiMixedTypes="0" containsString="0" containsNumber="1" minValue="7.8" maxValue="1044"/>
    </cacheField>
    <cacheField name="Quantity in Stock" numFmtId="0">
      <sharedItems containsSemiMixedTypes="0" containsString="0" containsNumber="1" containsInteger="1" minValue="0" maxValue="300"/>
    </cacheField>
    <cacheField name="Reorder Level" numFmtId="0">
      <sharedItems containsSemiMixedTypes="0" containsString="0" containsNumber="1" containsInteger="1" minValue="10" maxValue="50" count="7">
        <n v="25"/>
        <n v="10"/>
        <n v="40"/>
        <n v="50"/>
        <n v="30"/>
        <n v="15"/>
        <n v="20"/>
      </sharedItems>
    </cacheField>
    <cacheField name="Warehouse" numFmtId="0">
      <sharedItems count="3">
        <s v="Cork"/>
        <s v="Dublin"/>
        <s v="Galway"/>
      </sharedItems>
    </cacheField>
    <cacheField name="Purchase Date" numFmtId="14">
      <sharedItems containsSemiMixedTypes="0" containsNonDate="0" containsDate="1" containsString="0" minDate="2025-01-01T00:00:00" maxDate="2026-06-21T00:00:00" count="322">
        <d v="2025-08-29T00:00:00"/>
        <d v="2026-03-05T00:00:00"/>
        <d v="2026-02-14T00:00:00"/>
        <d v="2025-07-31T00:00:00"/>
        <d v="2026-05-15T00:00:00"/>
        <d v="2025-04-26T00:00:00"/>
        <d v="2025-09-27T00:00:00"/>
        <d v="2025-03-14T00:00:00"/>
        <d v="2026-05-01T00:00:00"/>
        <d v="2025-05-11T00:00:00"/>
        <d v="2026-04-09T00:00:00"/>
        <d v="2025-08-06T00:00:00"/>
        <d v="2026-03-12T00:00:00"/>
        <d v="2025-10-28T00:00:00"/>
        <d v="2025-10-09T00:00:00"/>
        <d v="2025-07-30T00:00:00"/>
        <d v="2025-04-25T00:00:00"/>
        <d v="2026-04-06T00:00:00"/>
        <d v="2025-08-07T00:00:00"/>
        <d v="2025-10-20T00:00:00"/>
        <d v="2026-05-22T00:00:00"/>
        <d v="2026-06-20T00:00:00"/>
        <d v="2026-04-08T00:00:00"/>
        <d v="2025-01-25T00:00:00"/>
        <d v="2026-02-08T00:00:00"/>
        <d v="2025-08-08T00:00:00"/>
        <d v="2025-04-24T00:00:00"/>
        <d v="2025-09-22T00:00:00"/>
        <d v="2026-04-28T00:00:00"/>
        <d v="2025-04-21T00:00:00"/>
        <d v="2026-02-26T00:00:00"/>
        <d v="2026-04-17T00:00:00"/>
        <d v="2025-07-26T00:00:00"/>
        <d v="2026-04-21T00:00:00"/>
        <d v="2025-05-30T00:00:00"/>
        <d v="2025-09-28T00:00:00"/>
        <d v="2025-10-23T00:00:00"/>
        <d v="2025-01-03T00:00:00"/>
        <d v="2025-03-04T00:00:00"/>
        <d v="2025-11-29T00:00:00"/>
        <d v="2026-01-09T00:00:00"/>
        <d v="2026-02-22T00:00:00"/>
        <d v="2025-03-02T00:00:00"/>
        <d v="2025-12-30T00:00:00"/>
        <d v="2026-06-01T00:00:00"/>
        <d v="2026-01-18T00:00:00"/>
        <d v="2025-08-10T00:00:00"/>
        <d v="2025-08-02T00:00:00"/>
        <d v="2025-08-20T00:00:00"/>
        <d v="2026-05-19T00:00:00"/>
        <d v="2025-08-19T00:00:00"/>
        <d v="2026-03-16T00:00:00"/>
        <d v="2026-03-13T00:00:00"/>
        <d v="2025-12-03T00:00:00"/>
        <d v="2025-05-02T00:00:00"/>
        <d v="2025-12-27T00:00:00"/>
        <d v="2025-01-22T00:00:00"/>
        <d v="2025-07-16T00:00:00"/>
        <d v="2025-05-07T00:00:00"/>
        <d v="2025-12-02T00:00:00"/>
        <d v="2026-04-18T00:00:00"/>
        <d v="2025-06-27T00:00:00"/>
        <d v="2026-01-28T00:00:00"/>
        <d v="2025-02-02T00:00:00"/>
        <d v="2026-04-29T00:00:00"/>
        <d v="2025-09-17T00:00:00"/>
        <d v="2026-01-11T00:00:00"/>
        <d v="2026-02-23T00:00:00"/>
        <d v="2026-03-08T00:00:00"/>
        <d v="2025-02-22T00:00:00"/>
        <d v="2026-02-16T00:00:00"/>
        <d v="2025-11-13T00:00:00"/>
        <d v="2025-03-16T00:00:00"/>
        <d v="2026-03-11T00:00:00"/>
        <d v="2025-12-23T00:00:00"/>
        <d v="2026-03-14T00:00:00"/>
        <d v="2025-03-31T00:00:00"/>
        <d v="2025-02-16T00:00:00"/>
        <d v="2026-05-29T00:00:00"/>
        <d v="2025-10-25T00:00:00"/>
        <d v="2025-02-27T00:00:00"/>
        <d v="2026-06-11T00:00:00"/>
        <d v="2026-05-09T00:00:00"/>
        <d v="2025-12-04T00:00:00"/>
        <d v="2026-05-31T00:00:00"/>
        <d v="2025-03-22T00:00:00"/>
        <d v="2025-11-02T00:00:00"/>
        <d v="2026-02-13T00:00:00"/>
        <d v="2026-01-31T00:00:00"/>
        <d v="2026-01-16T00:00:00"/>
        <d v="2025-02-04T00:00:00"/>
        <d v="2025-02-03T00:00:00"/>
        <d v="2025-10-18T00:00:00"/>
        <d v="2025-08-09T00:00:00"/>
        <d v="2025-07-20T00:00:00"/>
        <d v="2025-05-14T00:00:00"/>
        <d v="2025-02-12T00:00:00"/>
        <d v="2025-06-11T00:00:00"/>
        <d v="2025-07-22T00:00:00"/>
        <d v="2026-06-18T00:00:00"/>
        <d v="2025-04-23T00:00:00"/>
        <d v="2025-12-31T00:00:00"/>
        <d v="2025-04-13T00:00:00"/>
        <d v="2025-03-26T00:00:00"/>
        <d v="2025-11-08T00:00:00"/>
        <d v="2025-08-24T00:00:00"/>
        <d v="2025-03-12T00:00:00"/>
        <d v="2025-06-04T00:00:00"/>
        <d v="2026-03-24T00:00:00"/>
        <d v="2026-02-17T00:00:00"/>
        <d v="2026-03-09T00:00:00"/>
        <d v="2025-10-13T00:00:00"/>
        <d v="2025-08-27T00:00:00"/>
        <d v="2025-05-08T00:00:00"/>
        <d v="2025-02-17T00:00:00"/>
        <d v="2025-01-17T00:00:00"/>
        <d v="2025-03-24T00:00:00"/>
        <d v="2026-03-27T00:00:00"/>
        <d v="2025-11-19T00:00:00"/>
        <d v="2025-12-25T00:00:00"/>
        <d v="2025-08-01T00:00:00"/>
        <d v="2026-04-05T00:00:00"/>
        <d v="2025-06-20T00:00:00"/>
        <d v="2026-01-25T00:00:00"/>
        <d v="2026-01-04T00:00:00"/>
        <d v="2026-05-28T00:00:00"/>
        <d v="2025-03-29T00:00:00"/>
        <d v="2025-04-18T00:00:00"/>
        <d v="2026-02-20T00:00:00"/>
        <d v="2025-02-06T00:00:00"/>
        <d v="2025-06-02T00:00:00"/>
        <d v="2026-01-07T00:00:00"/>
        <d v="2025-04-02T00:00:00"/>
        <d v="2025-04-27T00:00:00"/>
        <d v="2026-03-20T00:00:00"/>
        <d v="2026-01-05T00:00:00"/>
        <d v="2025-01-11T00:00:00"/>
        <d v="2025-07-06T00:00:00"/>
        <d v="2025-07-05T00:00:00"/>
        <d v="2025-03-05T00:00:00"/>
        <d v="2026-04-25T00:00:00"/>
        <d v="2025-07-12T00:00:00"/>
        <d v="2025-07-24T00:00:00"/>
        <d v="2025-06-03T00:00:00"/>
        <d v="2025-03-08T00:00:00"/>
        <d v="2025-06-14T00:00:00"/>
        <d v="2026-01-02T00:00:00"/>
        <d v="2025-01-21T00:00:00"/>
        <d v="2025-01-16T00:00:00"/>
        <d v="2025-05-13T00:00:00"/>
        <d v="2026-01-17T00:00:00"/>
        <d v="2025-11-06T00:00:00"/>
        <d v="2026-02-11T00:00:00"/>
        <d v="2025-12-28T00:00:00"/>
        <d v="2026-06-09T00:00:00"/>
        <d v="2025-11-05T00:00:00"/>
        <d v="2026-05-07T00:00:00"/>
        <d v="2025-04-29T00:00:00"/>
        <d v="2026-04-26T00:00:00"/>
        <d v="2025-08-18T00:00:00"/>
        <d v="2025-05-15T00:00:00"/>
        <d v="2026-03-15T00:00:00"/>
        <d v="2025-06-30T00:00:00"/>
        <d v="2025-09-10T00:00:00"/>
        <d v="2026-04-22T00:00:00"/>
        <d v="2026-01-22T00:00:00"/>
        <d v="2025-04-14T00:00:00"/>
        <d v="2026-02-03T00:00:00"/>
        <d v="2025-10-10T00:00:00"/>
        <d v="2025-06-17T00:00:00"/>
        <d v="2025-03-11T00:00:00"/>
        <d v="2026-03-22T00:00:00"/>
        <d v="2026-03-26T00:00:00"/>
        <d v="2025-10-14T00:00:00"/>
        <d v="2025-04-05T00:00:00"/>
        <d v="2026-01-10T00:00:00"/>
        <d v="2025-09-15T00:00:00"/>
        <d v="2025-04-07T00:00:00"/>
        <d v="2025-11-10T00:00:00"/>
        <d v="2025-06-22T00:00:00"/>
        <d v="2025-09-24T00:00:00"/>
        <d v="2025-05-06T00:00:00"/>
        <d v="2026-03-19T00:00:00"/>
        <d v="2026-04-24T00:00:00"/>
        <d v="2025-10-27T00:00:00"/>
        <d v="2025-06-25T00:00:00"/>
        <d v="2025-07-02T00:00:00"/>
        <d v="2025-07-19T00:00:00"/>
        <d v="2025-07-27T00:00:00"/>
        <d v="2026-04-20T00:00:00"/>
        <d v="2025-02-08T00:00:00"/>
        <d v="2026-02-15T00:00:00"/>
        <d v="2025-05-20T00:00:00"/>
        <d v="2025-06-06T00:00:00"/>
        <d v="2025-08-23T00:00:00"/>
        <d v="2025-10-29T00:00:00"/>
        <d v="2026-04-16T00:00:00"/>
        <d v="2025-06-18T00:00:00"/>
        <d v="2025-05-03T00:00:00"/>
        <d v="2025-04-10T00:00:00"/>
        <d v="2025-01-01T00:00:00"/>
        <d v="2026-02-12T00:00:00"/>
        <d v="2025-01-06T00:00:00"/>
        <d v="2025-10-04T00:00:00"/>
        <d v="2025-10-11T00:00:00"/>
        <d v="2025-10-17T00:00:00"/>
        <d v="2026-04-15T00:00:00"/>
        <d v="2025-07-17T00:00:00"/>
        <d v="2026-03-07T00:00:00"/>
        <d v="2025-05-31T00:00:00"/>
        <d v="2025-01-19T00:00:00"/>
        <d v="2025-12-05T00:00:00"/>
        <d v="2025-05-12T00:00:00"/>
        <d v="2026-05-27T00:00:00"/>
        <d v="2025-05-19T00:00:00"/>
        <d v="2025-11-28T00:00:00"/>
        <d v="2025-12-01T00:00:00"/>
        <d v="2025-01-05T00:00:00"/>
        <d v="2026-03-21T00:00:00"/>
        <d v="2025-07-25T00:00:00"/>
        <d v="2025-04-17T00:00:00"/>
        <d v="2025-09-14T00:00:00"/>
        <d v="2026-01-26T00:00:00"/>
        <d v="2025-07-29T00:00:00"/>
        <d v="2026-01-08T00:00:00"/>
        <d v="2026-06-06T00:00:00"/>
        <d v="2026-02-28T00:00:00"/>
        <d v="2025-08-15T00:00:00"/>
        <d v="2025-06-07T00:00:00"/>
        <d v="2025-03-01T00:00:00"/>
        <d v="2025-12-12T00:00:00"/>
        <d v="2025-02-09T00:00:00"/>
        <d v="2025-09-26T00:00:00"/>
        <d v="2026-02-24T00:00:00"/>
        <d v="2026-02-09T00:00:00"/>
        <d v="2025-03-20T00:00:00"/>
        <d v="2025-04-04T00:00:00"/>
        <d v="2026-04-11T00:00:00"/>
        <d v="2026-01-03T00:00:00"/>
        <d v="2025-03-23T00:00:00"/>
        <d v="2025-05-10T00:00:00"/>
        <d v="2026-04-01T00:00:00"/>
        <d v="2026-01-30T00:00:00"/>
        <d v="2025-09-12T00:00:00"/>
        <d v="2026-03-28T00:00:00"/>
        <d v="2025-09-16T00:00:00"/>
        <d v="2025-01-13T00:00:00"/>
        <d v="2026-04-03T00:00:00"/>
        <d v="2025-02-25T00:00:00"/>
        <d v="2025-04-08T00:00:00"/>
        <d v="2026-01-20T00:00:00"/>
        <d v="2026-05-30T00:00:00"/>
        <d v="2025-01-08T00:00:00"/>
        <d v="2025-12-20T00:00:00"/>
        <d v="2025-03-25T00:00:00"/>
        <d v="2025-07-28T00:00:00"/>
        <d v="2025-02-24T00:00:00"/>
        <d v="2025-05-09T00:00:00"/>
        <d v="2026-01-27T00:00:00"/>
        <d v="2025-05-24T00:00:00"/>
        <d v="2026-05-20T00:00:00"/>
        <d v="2025-10-31T00:00:00"/>
        <d v="2025-01-12T00:00:00"/>
        <d v="2025-03-28T00:00:00"/>
        <d v="2025-06-15T00:00:00"/>
        <d v="2026-05-12T00:00:00"/>
        <d v="2026-03-23T00:00:00"/>
        <d v="2025-08-12T00:00:00"/>
        <d v="2025-09-05T00:00:00"/>
        <d v="2025-10-22T00:00:00"/>
        <d v="2025-03-19T00:00:00"/>
        <d v="2025-12-18T00:00:00"/>
        <d v="2026-05-16T00:00:00"/>
        <d v="2025-02-07T00:00:00"/>
        <d v="2025-07-15T00:00:00"/>
        <d v="2026-05-05T00:00:00"/>
        <d v="2025-06-08T00:00:00"/>
        <d v="2025-01-23T00:00:00"/>
        <d v="2025-05-01T00:00:00"/>
        <d v="2025-12-08T00:00:00"/>
        <d v="2025-02-15T00:00:00"/>
        <d v="2025-02-21T00:00:00"/>
        <d v="2025-11-18T00:00:00"/>
        <d v="2026-01-19T00:00:00"/>
        <d v="2025-11-22T00:00:00"/>
        <d v="2026-05-04T00:00:00"/>
        <d v="2025-02-20T00:00:00"/>
        <d v="2025-11-03T00:00:00"/>
        <d v="2025-11-30T00:00:00"/>
        <d v="2026-06-14T00:00:00"/>
        <d v="2026-05-21T00:00:00"/>
        <d v="2026-05-11T00:00:00"/>
        <d v="2025-12-24T00:00:00"/>
        <d v="2025-10-06T00:00:00"/>
        <d v="2025-07-14T00:00:00"/>
        <d v="2025-01-09T00:00:00"/>
        <d v="2026-03-04T00:00:00"/>
        <d v="2025-11-07T00:00:00"/>
        <d v="2026-03-17T00:00:00"/>
        <d v="2025-08-26T00:00:00"/>
        <d v="2025-04-03T00:00:00"/>
        <d v="2025-05-25T00:00:00"/>
        <d v="2025-07-21T00:00:00"/>
        <d v="2025-12-15T00:00:00"/>
        <d v="2025-06-21T00:00:00"/>
        <d v="2025-06-23T00:00:00"/>
        <d v="2025-12-14T00:00:00"/>
        <d v="2025-10-24T00:00:00"/>
        <d v="2026-01-21T00:00:00"/>
        <d v="2026-02-07T00:00:00"/>
        <d v="2026-02-01T00:00:00"/>
        <d v="2025-12-29T00:00:00"/>
        <d v="2025-11-24T00:00:00"/>
        <d v="2026-01-13T00:00:00"/>
        <d v="2025-09-30T00:00:00"/>
        <d v="2025-04-15T00:00:00"/>
        <d v="2025-12-19T00:00:00"/>
        <d v="2025-01-18T00:00:00"/>
        <d v="2026-04-23T00:00:00"/>
        <d v="2026-05-25T00:00:00"/>
        <d v="2025-07-11T00:00:00"/>
        <d v="2025-01-24T00:00:00"/>
      </sharedItems>
      <fieldGroup par="14"/>
    </cacheField>
    <cacheField name="Last Restocked" numFmtId="14">
      <sharedItems containsSemiMixedTypes="0" containsNonDate="0" containsDate="1" containsString="0" minDate="2025-01-09T00:00:00" maxDate="2026-09-12T00:00:00"/>
    </cacheField>
    <cacheField name="Status" numFmtId="0">
      <sharedItems count="3">
        <s v="Low Stock"/>
        <s v="In Stock"/>
        <s v="Out of Stock"/>
      </sharedItems>
    </cacheField>
    <cacheField name="Inventory Value" numFmtId="0">
      <sharedItems containsSemiMixedTypes="0" containsString="0" containsNumber="1" containsInteger="1" minValue="0" maxValue="206712"/>
    </cacheField>
    <cacheField name="Months (Purchase Date)" numFmtId="0" databaseField="0">
      <fieldGroup base="9">
        <rangePr groupBy="months" startDate="2025-01-01T00:00:00" endDate="2026-06-21T00:00:00"/>
        <groupItems count="14">
          <s v="&lt;01/01/2025"/>
          <s v="Jan"/>
          <s v="Feb"/>
          <s v="Mar"/>
          <s v="Apr"/>
          <s v="May"/>
          <s v="Jun"/>
          <s v="Jul"/>
          <s v="Aug"/>
          <s v="Sep"/>
          <s v="Oct"/>
          <s v="Nov"/>
          <s v="Dec"/>
          <s v="&gt;21/06/2026"/>
        </groupItems>
      </fieldGroup>
    </cacheField>
    <cacheField name="Years (Purchase Date)" numFmtId="0" databaseField="0">
      <fieldGroup base="9">
        <rangePr groupBy="years" startDate="2025-01-01T00:00:00" endDate="2026-06-21T00:00:00"/>
        <groupItems count="4">
          <s v="&lt;01/01/2025"/>
          <s v="2025"/>
          <s v="2026"/>
          <s v="&gt;21/06/2026"/>
        </groupItems>
      </fieldGroup>
    </cacheField>
  </cacheFields>
  <extLst>
    <ext xmlns:x14="http://schemas.microsoft.com/office/spreadsheetml/2009/9/main" uri="{725AE2AE-9491-48be-B2B4-4EB974FC3084}">
      <x14:pivotCacheDefinition pivotCacheId="1841548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001"/>
    <x v="0"/>
    <x v="0"/>
    <x v="0"/>
    <n v="365"/>
    <n v="547.5"/>
    <n v="11"/>
    <x v="0"/>
    <x v="0"/>
    <x v="0"/>
    <d v="2025-11-06T00:00:00"/>
    <x v="0"/>
    <n v="4015"/>
  </r>
  <r>
    <s v="P002"/>
    <x v="0"/>
    <x v="0"/>
    <x v="1"/>
    <n v="562"/>
    <n v="843"/>
    <n v="5"/>
    <x v="0"/>
    <x v="0"/>
    <x v="1"/>
    <d v="2026-04-26T00:00:00"/>
    <x v="0"/>
    <n v="2810"/>
  </r>
  <r>
    <s v="P003"/>
    <x v="1"/>
    <x v="1"/>
    <x v="1"/>
    <n v="22"/>
    <n v="28.6"/>
    <n v="257"/>
    <x v="1"/>
    <x v="0"/>
    <x v="2"/>
    <d v="2026-04-21T00:00:00"/>
    <x v="1"/>
    <n v="5654"/>
  </r>
  <r>
    <s v="P004"/>
    <x v="2"/>
    <x v="0"/>
    <x v="2"/>
    <n v="140"/>
    <n v="196"/>
    <n v="219"/>
    <x v="2"/>
    <x v="0"/>
    <x v="3"/>
    <d v="2025-08-25T00:00:00"/>
    <x v="1"/>
    <n v="30660"/>
  </r>
  <r>
    <s v="P005"/>
    <x v="3"/>
    <x v="2"/>
    <x v="3"/>
    <n v="295"/>
    <n v="354"/>
    <n v="83"/>
    <x v="3"/>
    <x v="1"/>
    <x v="4"/>
    <d v="2026-07-13T00:00:00"/>
    <x v="1"/>
    <n v="24485"/>
  </r>
  <r>
    <s v="P006"/>
    <x v="4"/>
    <x v="3"/>
    <x v="4"/>
    <n v="473"/>
    <n v="662.2"/>
    <n v="17"/>
    <x v="2"/>
    <x v="1"/>
    <x v="5"/>
    <d v="2025-06-29T00:00:00"/>
    <x v="0"/>
    <n v="8041"/>
  </r>
  <r>
    <s v="P007"/>
    <x v="5"/>
    <x v="1"/>
    <x v="2"/>
    <n v="148"/>
    <n v="177.6"/>
    <n v="246"/>
    <x v="1"/>
    <x v="1"/>
    <x v="6"/>
    <d v="2025-10-19T00:00:00"/>
    <x v="1"/>
    <n v="36408"/>
  </r>
  <r>
    <s v="P008"/>
    <x v="2"/>
    <x v="0"/>
    <x v="4"/>
    <n v="213"/>
    <n v="255.6"/>
    <n v="58"/>
    <x v="3"/>
    <x v="1"/>
    <x v="7"/>
    <d v="2025-04-20T00:00:00"/>
    <x v="1"/>
    <n v="12354"/>
  </r>
  <r>
    <s v="P009"/>
    <x v="2"/>
    <x v="0"/>
    <x v="5"/>
    <n v="210"/>
    <n v="273"/>
    <n v="86"/>
    <x v="2"/>
    <x v="0"/>
    <x v="8"/>
    <d v="2026-06-26T00:00:00"/>
    <x v="1"/>
    <n v="18060"/>
  </r>
  <r>
    <s v="P010"/>
    <x v="6"/>
    <x v="3"/>
    <x v="1"/>
    <n v="654"/>
    <n v="981"/>
    <n v="5"/>
    <x v="4"/>
    <x v="2"/>
    <x v="9"/>
    <d v="2025-07-31T00:00:00"/>
    <x v="0"/>
    <n v="3270"/>
  </r>
  <r>
    <s v="P011"/>
    <x v="2"/>
    <x v="0"/>
    <x v="3"/>
    <n v="240"/>
    <n v="288"/>
    <n v="154"/>
    <x v="2"/>
    <x v="2"/>
    <x v="10"/>
    <d v="2026-04-20T00:00:00"/>
    <x v="1"/>
    <n v="36960"/>
  </r>
  <r>
    <s v="P012"/>
    <x v="7"/>
    <x v="0"/>
    <x v="4"/>
    <n v="409"/>
    <n v="613.5"/>
    <n v="222"/>
    <x v="1"/>
    <x v="1"/>
    <x v="11"/>
    <d v="2025-09-14T00:00:00"/>
    <x v="1"/>
    <n v="90798"/>
  </r>
  <r>
    <s v="P013"/>
    <x v="8"/>
    <x v="0"/>
    <x v="0"/>
    <n v="634"/>
    <n v="951"/>
    <n v="96"/>
    <x v="5"/>
    <x v="2"/>
    <x v="12"/>
    <d v="2026-04-18T00:00:00"/>
    <x v="1"/>
    <n v="60864"/>
  </r>
  <r>
    <s v="P014"/>
    <x v="9"/>
    <x v="3"/>
    <x v="4"/>
    <n v="197"/>
    <n v="295.5"/>
    <n v="107"/>
    <x v="1"/>
    <x v="2"/>
    <x v="13"/>
    <d v="2026-01-03T00:00:00"/>
    <x v="1"/>
    <n v="21079"/>
  </r>
  <r>
    <s v="P015"/>
    <x v="10"/>
    <x v="1"/>
    <x v="0"/>
    <n v="154"/>
    <n v="200.2"/>
    <n v="227"/>
    <x v="5"/>
    <x v="2"/>
    <x v="14"/>
    <d v="2025-12-08T00:00:00"/>
    <x v="1"/>
    <n v="34958"/>
  </r>
  <r>
    <s v="P016"/>
    <x v="0"/>
    <x v="0"/>
    <x v="2"/>
    <n v="677"/>
    <n v="880.1"/>
    <n v="202"/>
    <x v="2"/>
    <x v="0"/>
    <x v="15"/>
    <d v="2025-10-15T00:00:00"/>
    <x v="1"/>
    <n v="136754"/>
  </r>
  <r>
    <s v="P017"/>
    <x v="1"/>
    <x v="1"/>
    <x v="5"/>
    <n v="314"/>
    <n v="408.2"/>
    <n v="224"/>
    <x v="4"/>
    <x v="2"/>
    <x v="16"/>
    <d v="2025-06-17T00:00:00"/>
    <x v="1"/>
    <n v="70336"/>
  </r>
  <r>
    <s v="P018"/>
    <x v="8"/>
    <x v="0"/>
    <x v="5"/>
    <n v="253"/>
    <n v="328.9"/>
    <n v="230"/>
    <x v="4"/>
    <x v="2"/>
    <x v="17"/>
    <d v="2026-06-13T00:00:00"/>
    <x v="1"/>
    <n v="58190"/>
  </r>
  <r>
    <s v="P019"/>
    <x v="11"/>
    <x v="2"/>
    <x v="4"/>
    <n v="643"/>
    <n v="964.5"/>
    <n v="197"/>
    <x v="2"/>
    <x v="1"/>
    <x v="6"/>
    <d v="2025-10-03T00:00:00"/>
    <x v="1"/>
    <n v="126671"/>
  </r>
  <r>
    <s v="P020"/>
    <x v="7"/>
    <x v="0"/>
    <x v="1"/>
    <n v="328"/>
    <n v="459.2"/>
    <n v="42"/>
    <x v="5"/>
    <x v="0"/>
    <x v="18"/>
    <d v="2025-10-09T00:00:00"/>
    <x v="1"/>
    <n v="13776"/>
  </r>
  <r>
    <s v="P021"/>
    <x v="12"/>
    <x v="3"/>
    <x v="3"/>
    <n v="107"/>
    <n v="160.5"/>
    <n v="261"/>
    <x v="3"/>
    <x v="1"/>
    <x v="19"/>
    <d v="2025-10-31T00:00:00"/>
    <x v="1"/>
    <n v="27927"/>
  </r>
  <r>
    <s v="P022"/>
    <x v="10"/>
    <x v="1"/>
    <x v="1"/>
    <n v="21"/>
    <n v="31.5"/>
    <n v="291"/>
    <x v="2"/>
    <x v="0"/>
    <x v="20"/>
    <d v="2026-06-02T00:00:00"/>
    <x v="1"/>
    <n v="6111"/>
  </r>
  <r>
    <s v="P023"/>
    <x v="13"/>
    <x v="1"/>
    <x v="0"/>
    <n v="113"/>
    <n v="158.19999999999999"/>
    <n v="32"/>
    <x v="4"/>
    <x v="2"/>
    <x v="21"/>
    <d v="2026-06-20T00:00:00"/>
    <x v="1"/>
    <n v="3616"/>
  </r>
  <r>
    <s v="P024"/>
    <x v="14"/>
    <x v="1"/>
    <x v="3"/>
    <n v="347"/>
    <n v="451.1"/>
    <n v="212"/>
    <x v="5"/>
    <x v="0"/>
    <x v="22"/>
    <d v="2026-06-24T00:00:00"/>
    <x v="1"/>
    <n v="73564"/>
  </r>
  <r>
    <s v="P025"/>
    <x v="2"/>
    <x v="0"/>
    <x v="5"/>
    <n v="478"/>
    <n v="669.2"/>
    <n v="197"/>
    <x v="0"/>
    <x v="0"/>
    <x v="23"/>
    <d v="2025-02-14T00:00:00"/>
    <x v="1"/>
    <n v="94166"/>
  </r>
  <r>
    <s v="P026"/>
    <x v="15"/>
    <x v="3"/>
    <x v="2"/>
    <n v="565"/>
    <n v="734.5"/>
    <n v="170"/>
    <x v="6"/>
    <x v="1"/>
    <x v="24"/>
    <d v="2026-03-18T00:00:00"/>
    <x v="1"/>
    <n v="96050"/>
  </r>
  <r>
    <s v="P027"/>
    <x v="16"/>
    <x v="0"/>
    <x v="1"/>
    <n v="89"/>
    <n v="106.8"/>
    <n v="225"/>
    <x v="1"/>
    <x v="1"/>
    <x v="25"/>
    <d v="2025-08-24T00:00:00"/>
    <x v="1"/>
    <n v="20025"/>
  </r>
  <r>
    <s v="P028"/>
    <x v="3"/>
    <x v="2"/>
    <x v="5"/>
    <n v="92"/>
    <n v="110.4"/>
    <n v="135"/>
    <x v="2"/>
    <x v="0"/>
    <x v="26"/>
    <d v="2025-06-30T00:00:00"/>
    <x v="1"/>
    <n v="12420"/>
  </r>
  <r>
    <s v="P029"/>
    <x v="15"/>
    <x v="3"/>
    <x v="0"/>
    <n v="444"/>
    <n v="577.20000000000005"/>
    <n v="212"/>
    <x v="5"/>
    <x v="2"/>
    <x v="27"/>
    <d v="2025-11-26T00:00:00"/>
    <x v="1"/>
    <n v="94128"/>
  </r>
  <r>
    <s v="P030"/>
    <x v="17"/>
    <x v="2"/>
    <x v="1"/>
    <n v="529"/>
    <n v="740.6"/>
    <n v="58"/>
    <x v="6"/>
    <x v="0"/>
    <x v="28"/>
    <d v="2026-07-27T00:00:00"/>
    <x v="1"/>
    <n v="30682"/>
  </r>
  <r>
    <s v="P031"/>
    <x v="15"/>
    <x v="3"/>
    <x v="2"/>
    <n v="590"/>
    <n v="708"/>
    <n v="300"/>
    <x v="0"/>
    <x v="2"/>
    <x v="29"/>
    <d v="2025-05-19T00:00:00"/>
    <x v="1"/>
    <n v="177000"/>
  </r>
  <r>
    <s v="P032"/>
    <x v="13"/>
    <x v="1"/>
    <x v="4"/>
    <n v="158"/>
    <n v="237"/>
    <n v="109"/>
    <x v="0"/>
    <x v="0"/>
    <x v="14"/>
    <d v="2025-11-19T00:00:00"/>
    <x v="1"/>
    <n v="17222"/>
  </r>
  <r>
    <s v="P033"/>
    <x v="5"/>
    <x v="1"/>
    <x v="5"/>
    <n v="604"/>
    <n v="845.6"/>
    <n v="299"/>
    <x v="1"/>
    <x v="2"/>
    <x v="30"/>
    <d v="2026-05-13T00:00:00"/>
    <x v="1"/>
    <n v="180596"/>
  </r>
  <r>
    <s v="P034"/>
    <x v="17"/>
    <x v="2"/>
    <x v="2"/>
    <n v="558"/>
    <n v="725.4"/>
    <n v="216"/>
    <x v="2"/>
    <x v="2"/>
    <x v="31"/>
    <d v="2026-07-04T00:00:00"/>
    <x v="1"/>
    <n v="120528"/>
  </r>
  <r>
    <s v="P035"/>
    <x v="14"/>
    <x v="1"/>
    <x v="1"/>
    <n v="337"/>
    <n v="404.4"/>
    <n v="127"/>
    <x v="3"/>
    <x v="1"/>
    <x v="32"/>
    <d v="2025-07-30T00:00:00"/>
    <x v="1"/>
    <n v="42799"/>
  </r>
  <r>
    <s v="P036"/>
    <x v="8"/>
    <x v="0"/>
    <x v="3"/>
    <n v="464"/>
    <n v="556.79999999999995"/>
    <n v="166"/>
    <x v="4"/>
    <x v="2"/>
    <x v="33"/>
    <d v="2026-05-17T00:00:00"/>
    <x v="1"/>
    <n v="77024"/>
  </r>
  <r>
    <s v="P037"/>
    <x v="13"/>
    <x v="1"/>
    <x v="5"/>
    <n v="478"/>
    <n v="573.6"/>
    <n v="100"/>
    <x v="0"/>
    <x v="0"/>
    <x v="34"/>
    <d v="2025-06-24T00:00:00"/>
    <x v="1"/>
    <n v="47800"/>
  </r>
  <r>
    <s v="P038"/>
    <x v="17"/>
    <x v="2"/>
    <x v="2"/>
    <n v="349"/>
    <n v="523.5"/>
    <n v="271"/>
    <x v="6"/>
    <x v="0"/>
    <x v="35"/>
    <d v="2025-11-17T00:00:00"/>
    <x v="1"/>
    <n v="94579"/>
  </r>
  <r>
    <s v="P039"/>
    <x v="13"/>
    <x v="1"/>
    <x v="0"/>
    <n v="242"/>
    <n v="363"/>
    <n v="168"/>
    <x v="3"/>
    <x v="1"/>
    <x v="16"/>
    <d v="2025-06-09T00:00:00"/>
    <x v="1"/>
    <n v="40656"/>
  </r>
  <r>
    <s v="P040"/>
    <x v="9"/>
    <x v="3"/>
    <x v="2"/>
    <n v="211"/>
    <n v="274.3"/>
    <n v="36"/>
    <x v="3"/>
    <x v="2"/>
    <x v="36"/>
    <d v="2025-11-08T00:00:00"/>
    <x v="0"/>
    <n v="7596"/>
  </r>
  <r>
    <s v="P041"/>
    <x v="8"/>
    <x v="0"/>
    <x v="1"/>
    <n v="385"/>
    <n v="539"/>
    <n v="39"/>
    <x v="2"/>
    <x v="1"/>
    <x v="37"/>
    <d v="2025-03-16T00:00:00"/>
    <x v="0"/>
    <n v="15015"/>
  </r>
  <r>
    <s v="P042"/>
    <x v="18"/>
    <x v="2"/>
    <x v="4"/>
    <n v="148"/>
    <n v="192.4"/>
    <n v="187"/>
    <x v="2"/>
    <x v="0"/>
    <x v="38"/>
    <d v="2025-05-06T00:00:00"/>
    <x v="1"/>
    <n v="27676"/>
  </r>
  <r>
    <s v="P043"/>
    <x v="7"/>
    <x v="0"/>
    <x v="1"/>
    <n v="90"/>
    <n v="126"/>
    <n v="144"/>
    <x v="1"/>
    <x v="2"/>
    <x v="39"/>
    <d v="2025-12-10T00:00:00"/>
    <x v="1"/>
    <n v="12960"/>
  </r>
  <r>
    <s v="P044"/>
    <x v="8"/>
    <x v="0"/>
    <x v="0"/>
    <n v="454"/>
    <n v="590.20000000000005"/>
    <n v="51"/>
    <x v="3"/>
    <x v="2"/>
    <x v="40"/>
    <d v="2026-02-11T00:00:00"/>
    <x v="1"/>
    <n v="23154"/>
  </r>
  <r>
    <s v="P045"/>
    <x v="11"/>
    <x v="2"/>
    <x v="2"/>
    <n v="140"/>
    <n v="168"/>
    <n v="228"/>
    <x v="2"/>
    <x v="2"/>
    <x v="41"/>
    <d v="2026-04-05T00:00:00"/>
    <x v="1"/>
    <n v="31920"/>
  </r>
  <r>
    <s v="P046"/>
    <x v="8"/>
    <x v="0"/>
    <x v="0"/>
    <n v="699"/>
    <n v="838.8"/>
    <n v="285"/>
    <x v="1"/>
    <x v="0"/>
    <x v="42"/>
    <d v="2025-04-24T00:00:00"/>
    <x v="1"/>
    <n v="199215"/>
  </r>
  <r>
    <s v="P047"/>
    <x v="10"/>
    <x v="1"/>
    <x v="3"/>
    <n v="536"/>
    <n v="804"/>
    <n v="17"/>
    <x v="1"/>
    <x v="2"/>
    <x v="43"/>
    <d v="2026-03-07T00:00:00"/>
    <x v="1"/>
    <n v="9112"/>
  </r>
  <r>
    <s v="P048"/>
    <x v="16"/>
    <x v="0"/>
    <x v="1"/>
    <n v="170"/>
    <n v="221"/>
    <n v="245"/>
    <x v="2"/>
    <x v="0"/>
    <x v="34"/>
    <d v="2025-08-12T00:00:00"/>
    <x v="1"/>
    <n v="41650"/>
  </r>
  <r>
    <s v="P049"/>
    <x v="15"/>
    <x v="3"/>
    <x v="0"/>
    <n v="535"/>
    <n v="802.5"/>
    <n v="207"/>
    <x v="6"/>
    <x v="1"/>
    <x v="44"/>
    <d v="2026-08-26T00:00:00"/>
    <x v="1"/>
    <n v="110745"/>
  </r>
  <r>
    <s v="P050"/>
    <x v="14"/>
    <x v="1"/>
    <x v="0"/>
    <n v="605"/>
    <n v="726"/>
    <n v="272"/>
    <x v="6"/>
    <x v="2"/>
    <x v="45"/>
    <d v="2026-02-18T00:00:00"/>
    <x v="1"/>
    <n v="164560"/>
  </r>
  <r>
    <s v="P051"/>
    <x v="2"/>
    <x v="0"/>
    <x v="1"/>
    <n v="585"/>
    <n v="877.5"/>
    <n v="247"/>
    <x v="4"/>
    <x v="0"/>
    <x v="46"/>
    <d v="2025-08-11T00:00:00"/>
    <x v="1"/>
    <n v="144495"/>
  </r>
  <r>
    <s v="P052"/>
    <x v="10"/>
    <x v="1"/>
    <x v="2"/>
    <n v="508"/>
    <n v="711.2"/>
    <n v="244"/>
    <x v="2"/>
    <x v="2"/>
    <x v="47"/>
    <d v="2025-10-02T00:00:00"/>
    <x v="1"/>
    <n v="123952"/>
  </r>
  <r>
    <s v="P053"/>
    <x v="0"/>
    <x v="0"/>
    <x v="5"/>
    <n v="200"/>
    <n v="260"/>
    <n v="176"/>
    <x v="6"/>
    <x v="1"/>
    <x v="48"/>
    <d v="2025-10-08T00:00:00"/>
    <x v="1"/>
    <n v="35200"/>
  </r>
  <r>
    <s v="P054"/>
    <x v="1"/>
    <x v="1"/>
    <x v="1"/>
    <n v="279"/>
    <n v="418.5"/>
    <n v="234"/>
    <x v="4"/>
    <x v="2"/>
    <x v="49"/>
    <d v="2026-05-24T00:00:00"/>
    <x v="1"/>
    <n v="65286"/>
  </r>
  <r>
    <s v="P055"/>
    <x v="17"/>
    <x v="2"/>
    <x v="1"/>
    <n v="483"/>
    <n v="579.6"/>
    <n v="76"/>
    <x v="0"/>
    <x v="2"/>
    <x v="50"/>
    <d v="2025-11-10T00:00:00"/>
    <x v="1"/>
    <n v="36708"/>
  </r>
  <r>
    <s v="P056"/>
    <x v="2"/>
    <x v="0"/>
    <x v="2"/>
    <n v="54"/>
    <n v="70.2"/>
    <n v="56"/>
    <x v="2"/>
    <x v="2"/>
    <x v="51"/>
    <d v="2026-03-20T00:00:00"/>
    <x v="1"/>
    <n v="3024"/>
  </r>
  <r>
    <s v="P057"/>
    <x v="16"/>
    <x v="0"/>
    <x v="5"/>
    <n v="434"/>
    <n v="607.6"/>
    <n v="192"/>
    <x v="5"/>
    <x v="0"/>
    <x v="52"/>
    <d v="2026-03-31T00:00:00"/>
    <x v="1"/>
    <n v="83328"/>
  </r>
  <r>
    <s v="P058"/>
    <x v="19"/>
    <x v="2"/>
    <x v="1"/>
    <n v="51"/>
    <n v="76.5"/>
    <n v="176"/>
    <x v="0"/>
    <x v="2"/>
    <x v="53"/>
    <d v="2026-02-01T00:00:00"/>
    <x v="1"/>
    <n v="8976"/>
  </r>
  <r>
    <s v="P059"/>
    <x v="19"/>
    <x v="2"/>
    <x v="5"/>
    <n v="63"/>
    <n v="94.5"/>
    <n v="203"/>
    <x v="5"/>
    <x v="1"/>
    <x v="54"/>
    <d v="2025-06-05T00:00:00"/>
    <x v="1"/>
    <n v="12789"/>
  </r>
  <r>
    <s v="P060"/>
    <x v="15"/>
    <x v="3"/>
    <x v="0"/>
    <n v="37"/>
    <n v="48.1"/>
    <n v="290"/>
    <x v="1"/>
    <x v="1"/>
    <x v="55"/>
    <d v="2026-01-25T00:00:00"/>
    <x v="1"/>
    <n v="10730"/>
  </r>
  <r>
    <s v="P061"/>
    <x v="18"/>
    <x v="2"/>
    <x v="1"/>
    <n v="229"/>
    <n v="343.5"/>
    <n v="257"/>
    <x v="4"/>
    <x v="0"/>
    <x v="56"/>
    <d v="2025-02-02T00:00:00"/>
    <x v="1"/>
    <n v="58853"/>
  </r>
  <r>
    <s v="P062"/>
    <x v="10"/>
    <x v="1"/>
    <x v="1"/>
    <n v="271"/>
    <n v="325.2"/>
    <n v="271"/>
    <x v="4"/>
    <x v="2"/>
    <x v="57"/>
    <d v="2025-08-17T00:00:00"/>
    <x v="1"/>
    <n v="73441"/>
  </r>
  <r>
    <s v="P063"/>
    <x v="3"/>
    <x v="2"/>
    <x v="5"/>
    <n v="400"/>
    <n v="520"/>
    <n v="140"/>
    <x v="6"/>
    <x v="0"/>
    <x v="58"/>
    <d v="2025-06-09T00:00:00"/>
    <x v="1"/>
    <n v="56000"/>
  </r>
  <r>
    <s v="P064"/>
    <x v="19"/>
    <x v="2"/>
    <x v="1"/>
    <n v="167"/>
    <n v="250.5"/>
    <n v="3"/>
    <x v="3"/>
    <x v="2"/>
    <x v="59"/>
    <d v="2025-12-14T00:00:00"/>
    <x v="0"/>
    <n v="501"/>
  </r>
  <r>
    <s v="P065"/>
    <x v="9"/>
    <x v="3"/>
    <x v="1"/>
    <n v="66"/>
    <n v="85.8"/>
    <n v="228"/>
    <x v="5"/>
    <x v="2"/>
    <x v="60"/>
    <d v="2026-07-02T00:00:00"/>
    <x v="1"/>
    <n v="15048"/>
  </r>
  <r>
    <s v="P066"/>
    <x v="13"/>
    <x v="1"/>
    <x v="2"/>
    <n v="248"/>
    <n v="297.60000000000002"/>
    <n v="207"/>
    <x v="4"/>
    <x v="1"/>
    <x v="61"/>
    <d v="2025-07-24T00:00:00"/>
    <x v="1"/>
    <n v="51336"/>
  </r>
  <r>
    <s v="P067"/>
    <x v="15"/>
    <x v="3"/>
    <x v="5"/>
    <n v="27"/>
    <n v="32.4"/>
    <n v="37"/>
    <x v="4"/>
    <x v="0"/>
    <x v="62"/>
    <d v="2026-01-29T00:00:00"/>
    <x v="1"/>
    <n v="999"/>
  </r>
  <r>
    <s v="P068"/>
    <x v="12"/>
    <x v="3"/>
    <x v="2"/>
    <n v="441"/>
    <n v="573.29999999999995"/>
    <n v="24"/>
    <x v="3"/>
    <x v="2"/>
    <x v="63"/>
    <d v="2025-02-09T00:00:00"/>
    <x v="0"/>
    <n v="10584"/>
  </r>
  <r>
    <s v="P069"/>
    <x v="20"/>
    <x v="1"/>
    <x v="5"/>
    <n v="283"/>
    <n v="424.5"/>
    <n v="224"/>
    <x v="3"/>
    <x v="0"/>
    <x v="61"/>
    <d v="2025-07-01T00:00:00"/>
    <x v="1"/>
    <n v="63392"/>
  </r>
  <r>
    <s v="P070"/>
    <x v="9"/>
    <x v="3"/>
    <x v="3"/>
    <n v="694"/>
    <n v="902.2"/>
    <n v="267"/>
    <x v="6"/>
    <x v="1"/>
    <x v="64"/>
    <d v="2026-05-24T00:00:00"/>
    <x v="1"/>
    <n v="185298"/>
  </r>
  <r>
    <s v="P071"/>
    <x v="18"/>
    <x v="2"/>
    <x v="0"/>
    <n v="561"/>
    <n v="673.2"/>
    <n v="236"/>
    <x v="1"/>
    <x v="1"/>
    <x v="65"/>
    <d v="2025-09-21T00:00:00"/>
    <x v="1"/>
    <n v="132396"/>
  </r>
  <r>
    <s v="P072"/>
    <x v="6"/>
    <x v="3"/>
    <x v="4"/>
    <n v="255"/>
    <n v="331.5"/>
    <n v="278"/>
    <x v="0"/>
    <x v="0"/>
    <x v="66"/>
    <d v="2026-02-11T00:00:00"/>
    <x v="1"/>
    <n v="70890"/>
  </r>
  <r>
    <s v="P073"/>
    <x v="2"/>
    <x v="0"/>
    <x v="1"/>
    <n v="563"/>
    <n v="788.2"/>
    <n v="201"/>
    <x v="3"/>
    <x v="2"/>
    <x v="67"/>
    <d v="2026-03-08T00:00:00"/>
    <x v="1"/>
    <n v="113163"/>
  </r>
  <r>
    <s v="P074"/>
    <x v="1"/>
    <x v="1"/>
    <x v="3"/>
    <n v="304"/>
    <n v="456"/>
    <n v="251"/>
    <x v="3"/>
    <x v="1"/>
    <x v="68"/>
    <d v="2026-04-02T00:00:00"/>
    <x v="1"/>
    <n v="76304"/>
  </r>
  <r>
    <s v="P075"/>
    <x v="5"/>
    <x v="1"/>
    <x v="0"/>
    <n v="665"/>
    <n v="931"/>
    <n v="174"/>
    <x v="4"/>
    <x v="0"/>
    <x v="69"/>
    <d v="2025-04-07T00:00:00"/>
    <x v="1"/>
    <n v="115710"/>
  </r>
  <r>
    <s v="P076"/>
    <x v="1"/>
    <x v="1"/>
    <x v="5"/>
    <n v="392"/>
    <n v="588"/>
    <n v="164"/>
    <x v="3"/>
    <x v="0"/>
    <x v="70"/>
    <d v="2026-04-24T00:00:00"/>
    <x v="1"/>
    <n v="64288"/>
  </r>
  <r>
    <s v="P077"/>
    <x v="6"/>
    <x v="3"/>
    <x v="5"/>
    <n v="570"/>
    <n v="855"/>
    <n v="231"/>
    <x v="3"/>
    <x v="1"/>
    <x v="71"/>
    <d v="2026-01-01T00:00:00"/>
    <x v="1"/>
    <n v="131670"/>
  </r>
  <r>
    <s v="P078"/>
    <x v="4"/>
    <x v="3"/>
    <x v="0"/>
    <n v="464"/>
    <n v="696"/>
    <n v="75"/>
    <x v="4"/>
    <x v="0"/>
    <x v="72"/>
    <d v="2025-04-24T00:00:00"/>
    <x v="1"/>
    <n v="34800"/>
  </r>
  <r>
    <s v="P079"/>
    <x v="13"/>
    <x v="1"/>
    <x v="1"/>
    <n v="516"/>
    <n v="619.20000000000005"/>
    <n v="201"/>
    <x v="6"/>
    <x v="0"/>
    <x v="73"/>
    <d v="2026-06-09T00:00:00"/>
    <x v="1"/>
    <n v="103716"/>
  </r>
  <r>
    <s v="P080"/>
    <x v="20"/>
    <x v="1"/>
    <x v="5"/>
    <n v="593"/>
    <n v="889.5"/>
    <n v="172"/>
    <x v="3"/>
    <x v="0"/>
    <x v="74"/>
    <d v="2026-02-17T00:00:00"/>
    <x v="1"/>
    <n v="101996"/>
  </r>
  <r>
    <s v="P081"/>
    <x v="7"/>
    <x v="0"/>
    <x v="1"/>
    <n v="208"/>
    <n v="249.6"/>
    <n v="125"/>
    <x v="6"/>
    <x v="0"/>
    <x v="75"/>
    <d v="2026-03-24T00:00:00"/>
    <x v="1"/>
    <n v="26000"/>
  </r>
  <r>
    <s v="P082"/>
    <x v="16"/>
    <x v="0"/>
    <x v="1"/>
    <n v="7"/>
    <n v="9.1"/>
    <n v="147"/>
    <x v="6"/>
    <x v="0"/>
    <x v="76"/>
    <d v="2025-04-09T00:00:00"/>
    <x v="1"/>
    <n v="1029"/>
  </r>
  <r>
    <s v="P083"/>
    <x v="4"/>
    <x v="3"/>
    <x v="4"/>
    <n v="666"/>
    <n v="865.8"/>
    <n v="268"/>
    <x v="3"/>
    <x v="1"/>
    <x v="77"/>
    <d v="2025-03-25T00:00:00"/>
    <x v="1"/>
    <n v="178488"/>
  </r>
  <r>
    <s v="P084"/>
    <x v="13"/>
    <x v="1"/>
    <x v="3"/>
    <n v="596"/>
    <n v="774.8"/>
    <n v="175"/>
    <x v="1"/>
    <x v="0"/>
    <x v="78"/>
    <d v="2026-08-05T00:00:00"/>
    <x v="1"/>
    <n v="104300"/>
  </r>
  <r>
    <s v="P085"/>
    <x v="0"/>
    <x v="0"/>
    <x v="0"/>
    <n v="614"/>
    <n v="859.6"/>
    <n v="262"/>
    <x v="6"/>
    <x v="1"/>
    <x v="79"/>
    <d v="2025-11-11T00:00:00"/>
    <x v="1"/>
    <n v="160868"/>
  </r>
  <r>
    <s v="P086"/>
    <x v="19"/>
    <x v="2"/>
    <x v="2"/>
    <n v="245"/>
    <n v="367.5"/>
    <n v="260"/>
    <x v="4"/>
    <x v="1"/>
    <x v="80"/>
    <d v="2025-04-04T00:00:00"/>
    <x v="1"/>
    <n v="63700"/>
  </r>
  <r>
    <s v="P087"/>
    <x v="19"/>
    <x v="2"/>
    <x v="5"/>
    <n v="698"/>
    <n v="837.6"/>
    <n v="216"/>
    <x v="5"/>
    <x v="2"/>
    <x v="81"/>
    <d v="2026-07-18T00:00:00"/>
    <x v="1"/>
    <n v="150768"/>
  </r>
  <r>
    <s v="P088"/>
    <x v="10"/>
    <x v="1"/>
    <x v="1"/>
    <n v="244"/>
    <n v="341.6"/>
    <n v="108"/>
    <x v="1"/>
    <x v="2"/>
    <x v="82"/>
    <d v="2026-06-26T00:00:00"/>
    <x v="1"/>
    <n v="26352"/>
  </r>
  <r>
    <s v="P089"/>
    <x v="15"/>
    <x v="3"/>
    <x v="4"/>
    <n v="419"/>
    <n v="544.70000000000005"/>
    <n v="169"/>
    <x v="4"/>
    <x v="1"/>
    <x v="83"/>
    <d v="2025-12-18T00:00:00"/>
    <x v="1"/>
    <n v="70811"/>
  </r>
  <r>
    <s v="P090"/>
    <x v="19"/>
    <x v="2"/>
    <x v="4"/>
    <n v="189"/>
    <n v="264.60000000000002"/>
    <n v="107"/>
    <x v="6"/>
    <x v="0"/>
    <x v="84"/>
    <d v="2026-06-30T00:00:00"/>
    <x v="1"/>
    <n v="20223"/>
  </r>
  <r>
    <s v="P091"/>
    <x v="5"/>
    <x v="1"/>
    <x v="3"/>
    <n v="681"/>
    <n v="885.3"/>
    <n v="39"/>
    <x v="4"/>
    <x v="1"/>
    <x v="85"/>
    <d v="2025-04-07T00:00:00"/>
    <x v="1"/>
    <n v="26559"/>
  </r>
  <r>
    <s v="P092"/>
    <x v="0"/>
    <x v="0"/>
    <x v="3"/>
    <n v="226"/>
    <n v="316.39999999999998"/>
    <n v="180"/>
    <x v="0"/>
    <x v="0"/>
    <x v="86"/>
    <d v="2026-01-27T00:00:00"/>
    <x v="1"/>
    <n v="40680"/>
  </r>
  <r>
    <s v="P093"/>
    <x v="14"/>
    <x v="1"/>
    <x v="5"/>
    <n v="118"/>
    <n v="165.2"/>
    <n v="216"/>
    <x v="5"/>
    <x v="1"/>
    <x v="15"/>
    <d v="2025-10-28T00:00:00"/>
    <x v="1"/>
    <n v="25488"/>
  </r>
  <r>
    <s v="P094"/>
    <x v="16"/>
    <x v="0"/>
    <x v="2"/>
    <n v="283"/>
    <n v="424.5"/>
    <n v="175"/>
    <x v="2"/>
    <x v="0"/>
    <x v="59"/>
    <d v="2026-01-07T00:00:00"/>
    <x v="1"/>
    <n v="49525"/>
  </r>
  <r>
    <s v="P095"/>
    <x v="5"/>
    <x v="1"/>
    <x v="5"/>
    <n v="79"/>
    <n v="102.7"/>
    <n v="264"/>
    <x v="5"/>
    <x v="0"/>
    <x v="87"/>
    <d v="2026-03-23T00:00:00"/>
    <x v="1"/>
    <n v="20856"/>
  </r>
  <r>
    <s v="P096"/>
    <x v="3"/>
    <x v="2"/>
    <x v="0"/>
    <n v="519"/>
    <n v="622.79999999999995"/>
    <n v="257"/>
    <x v="0"/>
    <x v="1"/>
    <x v="88"/>
    <d v="2026-03-13T00:00:00"/>
    <x v="1"/>
    <n v="133383"/>
  </r>
  <r>
    <s v="P097"/>
    <x v="3"/>
    <x v="2"/>
    <x v="2"/>
    <n v="18"/>
    <n v="23.4"/>
    <n v="77"/>
    <x v="3"/>
    <x v="0"/>
    <x v="89"/>
    <d v="2026-01-24T00:00:00"/>
    <x v="1"/>
    <n v="1386"/>
  </r>
  <r>
    <s v="P098"/>
    <x v="12"/>
    <x v="3"/>
    <x v="5"/>
    <n v="333"/>
    <n v="466.2"/>
    <n v="163"/>
    <x v="1"/>
    <x v="0"/>
    <x v="90"/>
    <d v="2025-02-24T00:00:00"/>
    <x v="1"/>
    <n v="54279"/>
  </r>
  <r>
    <s v="P099"/>
    <x v="18"/>
    <x v="2"/>
    <x v="4"/>
    <n v="625"/>
    <n v="812.5"/>
    <n v="241"/>
    <x v="0"/>
    <x v="2"/>
    <x v="91"/>
    <d v="2025-02-20T00:00:00"/>
    <x v="1"/>
    <n v="150625"/>
  </r>
  <r>
    <s v="P100"/>
    <x v="3"/>
    <x v="2"/>
    <x v="5"/>
    <n v="240"/>
    <n v="360"/>
    <n v="47"/>
    <x v="2"/>
    <x v="0"/>
    <x v="92"/>
    <d v="2025-12-22T00:00:00"/>
    <x v="1"/>
    <n v="11280"/>
  </r>
  <r>
    <s v="P101"/>
    <x v="15"/>
    <x v="3"/>
    <x v="1"/>
    <n v="518"/>
    <n v="725.2"/>
    <n v="68"/>
    <x v="6"/>
    <x v="0"/>
    <x v="93"/>
    <d v="2025-09-06T00:00:00"/>
    <x v="1"/>
    <n v="35224"/>
  </r>
  <r>
    <s v="P102"/>
    <x v="17"/>
    <x v="2"/>
    <x v="4"/>
    <n v="188"/>
    <n v="244.4"/>
    <n v="83"/>
    <x v="3"/>
    <x v="0"/>
    <x v="94"/>
    <d v="2025-08-11T00:00:00"/>
    <x v="1"/>
    <n v="15604"/>
  </r>
  <r>
    <s v="P103"/>
    <x v="3"/>
    <x v="2"/>
    <x v="2"/>
    <n v="643"/>
    <n v="835.9"/>
    <n v="279"/>
    <x v="4"/>
    <x v="1"/>
    <x v="41"/>
    <d v="2026-05-09T00:00:00"/>
    <x v="1"/>
    <n v="179397"/>
  </r>
  <r>
    <s v="P104"/>
    <x v="2"/>
    <x v="0"/>
    <x v="0"/>
    <n v="555"/>
    <n v="721.5"/>
    <n v="300"/>
    <x v="5"/>
    <x v="1"/>
    <x v="95"/>
    <d v="2025-07-22T00:00:00"/>
    <x v="1"/>
    <n v="166500"/>
  </r>
  <r>
    <s v="P105"/>
    <x v="21"/>
    <x v="3"/>
    <x v="2"/>
    <n v="364"/>
    <n v="509.6"/>
    <n v="147"/>
    <x v="1"/>
    <x v="2"/>
    <x v="9"/>
    <d v="2025-06-29T00:00:00"/>
    <x v="1"/>
    <n v="53508"/>
  </r>
  <r>
    <s v="P106"/>
    <x v="19"/>
    <x v="2"/>
    <x v="5"/>
    <n v="219"/>
    <n v="328.5"/>
    <n v="92"/>
    <x v="1"/>
    <x v="2"/>
    <x v="96"/>
    <d v="2025-03-23T00:00:00"/>
    <x v="1"/>
    <n v="20148"/>
  </r>
  <r>
    <s v="P107"/>
    <x v="12"/>
    <x v="3"/>
    <x v="1"/>
    <n v="454"/>
    <n v="635.6"/>
    <n v="289"/>
    <x v="5"/>
    <x v="2"/>
    <x v="97"/>
    <d v="2025-08-19T00:00:00"/>
    <x v="1"/>
    <n v="131206"/>
  </r>
  <r>
    <s v="P108"/>
    <x v="8"/>
    <x v="0"/>
    <x v="3"/>
    <n v="242"/>
    <n v="290.39999999999998"/>
    <n v="153"/>
    <x v="0"/>
    <x v="0"/>
    <x v="98"/>
    <d v="2025-08-24T00:00:00"/>
    <x v="1"/>
    <n v="37026"/>
  </r>
  <r>
    <s v="P109"/>
    <x v="15"/>
    <x v="3"/>
    <x v="2"/>
    <n v="593"/>
    <n v="889.5"/>
    <n v="93"/>
    <x v="1"/>
    <x v="0"/>
    <x v="99"/>
    <d v="2026-07-18T00:00:00"/>
    <x v="1"/>
    <n v="55149"/>
  </r>
  <r>
    <s v="P110"/>
    <x v="15"/>
    <x v="3"/>
    <x v="3"/>
    <n v="386"/>
    <n v="463.2"/>
    <n v="88"/>
    <x v="4"/>
    <x v="2"/>
    <x v="100"/>
    <d v="2025-05-01T00:00:00"/>
    <x v="1"/>
    <n v="33968"/>
  </r>
  <r>
    <s v="P111"/>
    <x v="0"/>
    <x v="0"/>
    <x v="1"/>
    <n v="242"/>
    <n v="338.8"/>
    <n v="127"/>
    <x v="6"/>
    <x v="0"/>
    <x v="101"/>
    <d v="2026-01-12T00:00:00"/>
    <x v="1"/>
    <n v="30734"/>
  </r>
  <r>
    <s v="P112"/>
    <x v="22"/>
    <x v="3"/>
    <x v="5"/>
    <n v="117"/>
    <n v="175.5"/>
    <n v="227"/>
    <x v="1"/>
    <x v="0"/>
    <x v="102"/>
    <d v="2025-05-26T00:00:00"/>
    <x v="1"/>
    <n v="26559"/>
  </r>
  <r>
    <s v="P113"/>
    <x v="7"/>
    <x v="0"/>
    <x v="5"/>
    <n v="653"/>
    <n v="848.9"/>
    <n v="17"/>
    <x v="1"/>
    <x v="2"/>
    <x v="87"/>
    <d v="2026-04-15T00:00:00"/>
    <x v="1"/>
    <n v="11101"/>
  </r>
  <r>
    <s v="P114"/>
    <x v="21"/>
    <x v="3"/>
    <x v="4"/>
    <n v="469"/>
    <n v="609.70000000000005"/>
    <n v="283"/>
    <x v="3"/>
    <x v="1"/>
    <x v="103"/>
    <d v="2025-05-13T00:00:00"/>
    <x v="1"/>
    <n v="132727"/>
  </r>
  <r>
    <s v="P115"/>
    <x v="1"/>
    <x v="1"/>
    <x v="0"/>
    <n v="619"/>
    <n v="742.8"/>
    <n v="39"/>
    <x v="6"/>
    <x v="0"/>
    <x v="104"/>
    <d v="2025-12-10T00:00:00"/>
    <x v="1"/>
    <n v="24141"/>
  </r>
  <r>
    <s v="P116"/>
    <x v="10"/>
    <x v="1"/>
    <x v="0"/>
    <n v="101"/>
    <n v="121.2"/>
    <n v="239"/>
    <x v="4"/>
    <x v="1"/>
    <x v="10"/>
    <d v="2026-05-29T00:00:00"/>
    <x v="1"/>
    <n v="24139"/>
  </r>
  <r>
    <s v="P117"/>
    <x v="15"/>
    <x v="3"/>
    <x v="0"/>
    <n v="66"/>
    <n v="79.2"/>
    <n v="30"/>
    <x v="2"/>
    <x v="0"/>
    <x v="56"/>
    <d v="2025-03-26T00:00:00"/>
    <x v="0"/>
    <n v="1980"/>
  </r>
  <r>
    <s v="P118"/>
    <x v="18"/>
    <x v="2"/>
    <x v="0"/>
    <n v="131"/>
    <n v="196.5"/>
    <n v="157"/>
    <x v="1"/>
    <x v="2"/>
    <x v="105"/>
    <d v="2025-09-18T00:00:00"/>
    <x v="1"/>
    <n v="20567"/>
  </r>
  <r>
    <s v="P119"/>
    <x v="10"/>
    <x v="1"/>
    <x v="5"/>
    <n v="27"/>
    <n v="40.5"/>
    <n v="261"/>
    <x v="2"/>
    <x v="1"/>
    <x v="24"/>
    <d v="2026-03-15T00:00:00"/>
    <x v="1"/>
    <n v="7047"/>
  </r>
  <r>
    <s v="P120"/>
    <x v="16"/>
    <x v="0"/>
    <x v="4"/>
    <n v="539"/>
    <n v="808.5"/>
    <n v="259"/>
    <x v="6"/>
    <x v="0"/>
    <x v="106"/>
    <d v="2025-04-07T00:00:00"/>
    <x v="1"/>
    <n v="139601"/>
  </r>
  <r>
    <s v="P121"/>
    <x v="11"/>
    <x v="2"/>
    <x v="3"/>
    <n v="343"/>
    <n v="411.6"/>
    <n v="238"/>
    <x v="5"/>
    <x v="0"/>
    <x v="107"/>
    <d v="2025-06-28T00:00:00"/>
    <x v="1"/>
    <n v="81634"/>
  </r>
  <r>
    <s v="P122"/>
    <x v="11"/>
    <x v="2"/>
    <x v="5"/>
    <n v="399"/>
    <n v="598.5"/>
    <n v="297"/>
    <x v="6"/>
    <x v="0"/>
    <x v="108"/>
    <d v="2026-04-23T00:00:00"/>
    <x v="1"/>
    <n v="118503"/>
  </r>
  <r>
    <s v="P123"/>
    <x v="6"/>
    <x v="3"/>
    <x v="2"/>
    <n v="601"/>
    <n v="841.4"/>
    <n v="193"/>
    <x v="1"/>
    <x v="2"/>
    <x v="109"/>
    <d v="2026-03-08T00:00:00"/>
    <x v="1"/>
    <n v="115993"/>
  </r>
  <r>
    <s v="P124"/>
    <x v="20"/>
    <x v="1"/>
    <x v="0"/>
    <n v="333"/>
    <n v="399.6"/>
    <n v="286"/>
    <x v="6"/>
    <x v="1"/>
    <x v="6"/>
    <d v="2025-09-28T00:00:00"/>
    <x v="1"/>
    <n v="95238"/>
  </r>
  <r>
    <s v="P125"/>
    <x v="4"/>
    <x v="3"/>
    <x v="2"/>
    <n v="387"/>
    <n v="541.79999999999995"/>
    <n v="222"/>
    <x v="5"/>
    <x v="0"/>
    <x v="110"/>
    <d v="2026-04-22T00:00:00"/>
    <x v="1"/>
    <n v="85914"/>
  </r>
  <r>
    <s v="P126"/>
    <x v="18"/>
    <x v="2"/>
    <x v="4"/>
    <n v="660"/>
    <n v="924"/>
    <n v="223"/>
    <x v="3"/>
    <x v="1"/>
    <x v="111"/>
    <d v="2025-12-14T00:00:00"/>
    <x v="1"/>
    <n v="147180"/>
  </r>
  <r>
    <s v="P127"/>
    <x v="16"/>
    <x v="0"/>
    <x v="1"/>
    <n v="513"/>
    <n v="666.9"/>
    <n v="135"/>
    <x v="6"/>
    <x v="0"/>
    <x v="32"/>
    <d v="2025-08-17T00:00:00"/>
    <x v="1"/>
    <n v="69255"/>
  </r>
  <r>
    <s v="P128"/>
    <x v="20"/>
    <x v="1"/>
    <x v="0"/>
    <n v="424"/>
    <n v="508.8"/>
    <n v="154"/>
    <x v="1"/>
    <x v="0"/>
    <x v="45"/>
    <d v="2026-02-28T00:00:00"/>
    <x v="1"/>
    <n v="65296"/>
  </r>
  <r>
    <s v="P129"/>
    <x v="14"/>
    <x v="1"/>
    <x v="3"/>
    <n v="440"/>
    <n v="528"/>
    <n v="212"/>
    <x v="5"/>
    <x v="1"/>
    <x v="9"/>
    <d v="2025-08-05T00:00:00"/>
    <x v="1"/>
    <n v="93280"/>
  </r>
  <r>
    <s v="P130"/>
    <x v="22"/>
    <x v="3"/>
    <x v="1"/>
    <n v="496"/>
    <n v="694.4"/>
    <n v="286"/>
    <x v="5"/>
    <x v="0"/>
    <x v="95"/>
    <d v="2025-07-19T00:00:00"/>
    <x v="1"/>
    <n v="141856"/>
  </r>
  <r>
    <s v="P131"/>
    <x v="0"/>
    <x v="0"/>
    <x v="4"/>
    <n v="28"/>
    <n v="42"/>
    <n v="130"/>
    <x v="3"/>
    <x v="0"/>
    <x v="112"/>
    <d v="2025-11-09T00:00:00"/>
    <x v="1"/>
    <n v="3640"/>
  </r>
  <r>
    <s v="P132"/>
    <x v="20"/>
    <x v="1"/>
    <x v="2"/>
    <n v="413"/>
    <n v="536.9"/>
    <n v="49"/>
    <x v="4"/>
    <x v="1"/>
    <x v="113"/>
    <d v="2025-05-25T00:00:00"/>
    <x v="1"/>
    <n v="20237"/>
  </r>
  <r>
    <s v="P133"/>
    <x v="2"/>
    <x v="0"/>
    <x v="2"/>
    <n v="500"/>
    <n v="700"/>
    <n v="214"/>
    <x v="6"/>
    <x v="1"/>
    <x v="114"/>
    <d v="2025-04-09T00:00:00"/>
    <x v="1"/>
    <n v="107000"/>
  </r>
  <r>
    <s v="P134"/>
    <x v="10"/>
    <x v="1"/>
    <x v="1"/>
    <n v="371"/>
    <n v="556.5"/>
    <n v="184"/>
    <x v="6"/>
    <x v="1"/>
    <x v="115"/>
    <d v="2025-03-18T00:00:00"/>
    <x v="1"/>
    <n v="68264"/>
  </r>
  <r>
    <s v="P135"/>
    <x v="13"/>
    <x v="1"/>
    <x v="0"/>
    <n v="632"/>
    <n v="948"/>
    <n v="143"/>
    <x v="2"/>
    <x v="0"/>
    <x v="116"/>
    <d v="2025-04-21T00:00:00"/>
    <x v="1"/>
    <n v="90376"/>
  </r>
  <r>
    <s v="P136"/>
    <x v="14"/>
    <x v="1"/>
    <x v="2"/>
    <n v="548"/>
    <n v="767.2"/>
    <n v="202"/>
    <x v="3"/>
    <x v="0"/>
    <x v="117"/>
    <d v="2026-04-23T00:00:00"/>
    <x v="1"/>
    <n v="110696"/>
  </r>
  <r>
    <s v="P137"/>
    <x v="7"/>
    <x v="0"/>
    <x v="0"/>
    <n v="134"/>
    <n v="174.2"/>
    <n v="63"/>
    <x v="0"/>
    <x v="0"/>
    <x v="118"/>
    <d v="2026-02-10T00:00:00"/>
    <x v="1"/>
    <n v="8442"/>
  </r>
  <r>
    <s v="P138"/>
    <x v="13"/>
    <x v="1"/>
    <x v="5"/>
    <n v="380"/>
    <n v="494"/>
    <n v="275"/>
    <x v="5"/>
    <x v="1"/>
    <x v="119"/>
    <d v="2026-02-21T00:00:00"/>
    <x v="1"/>
    <n v="104500"/>
  </r>
  <r>
    <s v="P139"/>
    <x v="20"/>
    <x v="1"/>
    <x v="0"/>
    <n v="149"/>
    <n v="193.7"/>
    <n v="46"/>
    <x v="5"/>
    <x v="1"/>
    <x v="120"/>
    <d v="2025-08-31T00:00:00"/>
    <x v="1"/>
    <n v="6854"/>
  </r>
  <r>
    <s v="P140"/>
    <x v="15"/>
    <x v="3"/>
    <x v="2"/>
    <n v="145"/>
    <n v="188.5"/>
    <n v="195"/>
    <x v="4"/>
    <x v="2"/>
    <x v="121"/>
    <d v="2026-07-02T00:00:00"/>
    <x v="1"/>
    <n v="28275"/>
  </r>
  <r>
    <s v="P141"/>
    <x v="7"/>
    <x v="0"/>
    <x v="2"/>
    <n v="69"/>
    <n v="96.6"/>
    <n v="108"/>
    <x v="2"/>
    <x v="0"/>
    <x v="25"/>
    <d v="2025-09-06T00:00:00"/>
    <x v="1"/>
    <n v="7452"/>
  </r>
  <r>
    <s v="P142"/>
    <x v="16"/>
    <x v="0"/>
    <x v="2"/>
    <n v="522"/>
    <n v="783"/>
    <n v="38"/>
    <x v="6"/>
    <x v="1"/>
    <x v="122"/>
    <d v="2025-08-10T00:00:00"/>
    <x v="1"/>
    <n v="19836"/>
  </r>
  <r>
    <s v="P143"/>
    <x v="10"/>
    <x v="1"/>
    <x v="1"/>
    <n v="280"/>
    <n v="420"/>
    <n v="171"/>
    <x v="5"/>
    <x v="0"/>
    <x v="123"/>
    <d v="2026-03-31T00:00:00"/>
    <x v="1"/>
    <n v="47880"/>
  </r>
  <r>
    <s v="P144"/>
    <x v="6"/>
    <x v="3"/>
    <x v="0"/>
    <n v="230"/>
    <n v="276"/>
    <n v="263"/>
    <x v="6"/>
    <x v="1"/>
    <x v="124"/>
    <d v="2026-02-18T00:00:00"/>
    <x v="1"/>
    <n v="60490"/>
  </r>
  <r>
    <s v="P145"/>
    <x v="5"/>
    <x v="1"/>
    <x v="4"/>
    <n v="8"/>
    <n v="10.4"/>
    <n v="188"/>
    <x v="6"/>
    <x v="1"/>
    <x v="125"/>
    <d v="2026-06-18T00:00:00"/>
    <x v="1"/>
    <n v="1504"/>
  </r>
  <r>
    <s v="P146"/>
    <x v="6"/>
    <x v="3"/>
    <x v="4"/>
    <n v="400"/>
    <n v="600"/>
    <n v="237"/>
    <x v="6"/>
    <x v="2"/>
    <x v="126"/>
    <d v="2025-05-04T00:00:00"/>
    <x v="1"/>
    <n v="94800"/>
  </r>
  <r>
    <s v="P147"/>
    <x v="15"/>
    <x v="3"/>
    <x v="2"/>
    <n v="214"/>
    <n v="299.60000000000002"/>
    <n v="251"/>
    <x v="6"/>
    <x v="2"/>
    <x v="127"/>
    <d v="2025-07-13T00:00:00"/>
    <x v="1"/>
    <n v="53714"/>
  </r>
  <r>
    <s v="P148"/>
    <x v="7"/>
    <x v="0"/>
    <x v="0"/>
    <n v="535"/>
    <n v="642"/>
    <n v="100"/>
    <x v="2"/>
    <x v="0"/>
    <x v="34"/>
    <d v="2025-08-09T00:00:00"/>
    <x v="1"/>
    <n v="53500"/>
  </r>
  <r>
    <s v="P149"/>
    <x v="15"/>
    <x v="3"/>
    <x v="1"/>
    <n v="418"/>
    <n v="501.6"/>
    <n v="94"/>
    <x v="1"/>
    <x v="2"/>
    <x v="59"/>
    <d v="2026-02-07T00:00:00"/>
    <x v="1"/>
    <n v="39292"/>
  </r>
  <r>
    <s v="P150"/>
    <x v="18"/>
    <x v="2"/>
    <x v="4"/>
    <n v="412"/>
    <n v="535.6"/>
    <n v="91"/>
    <x v="1"/>
    <x v="1"/>
    <x v="128"/>
    <d v="2026-03-25T00:00:00"/>
    <x v="1"/>
    <n v="37492"/>
  </r>
  <r>
    <s v="P151"/>
    <x v="2"/>
    <x v="0"/>
    <x v="3"/>
    <n v="516"/>
    <n v="670.8"/>
    <n v="122"/>
    <x v="0"/>
    <x v="1"/>
    <x v="11"/>
    <d v="2025-11-02T00:00:00"/>
    <x v="1"/>
    <n v="62952"/>
  </r>
  <r>
    <s v="P152"/>
    <x v="0"/>
    <x v="0"/>
    <x v="4"/>
    <n v="110"/>
    <n v="165"/>
    <n v="219"/>
    <x v="3"/>
    <x v="2"/>
    <x v="129"/>
    <d v="2025-04-10T00:00:00"/>
    <x v="1"/>
    <n v="24090"/>
  </r>
  <r>
    <s v="P153"/>
    <x v="7"/>
    <x v="0"/>
    <x v="0"/>
    <n v="625"/>
    <n v="875"/>
    <n v="63"/>
    <x v="3"/>
    <x v="0"/>
    <x v="130"/>
    <d v="2025-06-08T00:00:00"/>
    <x v="1"/>
    <n v="39375"/>
  </r>
  <r>
    <s v="P154"/>
    <x v="13"/>
    <x v="1"/>
    <x v="3"/>
    <n v="326"/>
    <n v="489"/>
    <n v="65"/>
    <x v="3"/>
    <x v="2"/>
    <x v="131"/>
    <d v="2026-03-17T00:00:00"/>
    <x v="1"/>
    <n v="21190"/>
  </r>
  <r>
    <s v="P155"/>
    <x v="17"/>
    <x v="2"/>
    <x v="5"/>
    <n v="408"/>
    <n v="489.6"/>
    <n v="217"/>
    <x v="1"/>
    <x v="2"/>
    <x v="132"/>
    <d v="2025-06-18T00:00:00"/>
    <x v="1"/>
    <n v="88536"/>
  </r>
  <r>
    <s v="P156"/>
    <x v="14"/>
    <x v="1"/>
    <x v="4"/>
    <n v="618"/>
    <n v="741.6"/>
    <n v="144"/>
    <x v="2"/>
    <x v="0"/>
    <x v="133"/>
    <d v="2025-05-13T00:00:00"/>
    <x v="1"/>
    <n v="88992"/>
  </r>
  <r>
    <s v="P157"/>
    <x v="12"/>
    <x v="3"/>
    <x v="0"/>
    <n v="343"/>
    <n v="445.9"/>
    <n v="282"/>
    <x v="0"/>
    <x v="1"/>
    <x v="134"/>
    <d v="2026-05-22T00:00:00"/>
    <x v="1"/>
    <n v="96726"/>
  </r>
  <r>
    <s v="P158"/>
    <x v="0"/>
    <x v="0"/>
    <x v="2"/>
    <n v="114"/>
    <n v="148.19999999999999"/>
    <n v="231"/>
    <x v="3"/>
    <x v="2"/>
    <x v="135"/>
    <d v="2026-03-26T00:00:00"/>
    <x v="1"/>
    <n v="26334"/>
  </r>
  <r>
    <s v="P159"/>
    <x v="5"/>
    <x v="1"/>
    <x v="5"/>
    <n v="316"/>
    <n v="379.2"/>
    <n v="138"/>
    <x v="5"/>
    <x v="2"/>
    <x v="136"/>
    <d v="2025-04-10T00:00:00"/>
    <x v="1"/>
    <n v="43608"/>
  </r>
  <r>
    <s v="P160"/>
    <x v="7"/>
    <x v="0"/>
    <x v="2"/>
    <n v="419"/>
    <n v="544.70000000000005"/>
    <n v="77"/>
    <x v="4"/>
    <x v="2"/>
    <x v="137"/>
    <d v="2025-09-10T00:00:00"/>
    <x v="1"/>
    <n v="32263"/>
  </r>
  <r>
    <s v="P161"/>
    <x v="19"/>
    <x v="2"/>
    <x v="0"/>
    <n v="246"/>
    <n v="319.8"/>
    <n v="85"/>
    <x v="2"/>
    <x v="0"/>
    <x v="138"/>
    <d v="2025-09-18T00:00:00"/>
    <x v="1"/>
    <n v="20910"/>
  </r>
  <r>
    <s v="P162"/>
    <x v="16"/>
    <x v="0"/>
    <x v="1"/>
    <n v="411"/>
    <n v="575.4"/>
    <n v="104"/>
    <x v="0"/>
    <x v="0"/>
    <x v="139"/>
    <d v="2025-05-14T00:00:00"/>
    <x v="1"/>
    <n v="42744"/>
  </r>
  <r>
    <s v="P163"/>
    <x v="4"/>
    <x v="3"/>
    <x v="4"/>
    <n v="592"/>
    <n v="769.6"/>
    <n v="117"/>
    <x v="0"/>
    <x v="1"/>
    <x v="37"/>
    <d v="2025-03-30T00:00:00"/>
    <x v="1"/>
    <n v="69264"/>
  </r>
  <r>
    <s v="P164"/>
    <x v="8"/>
    <x v="0"/>
    <x v="0"/>
    <n v="58"/>
    <n v="87"/>
    <n v="10"/>
    <x v="5"/>
    <x v="2"/>
    <x v="140"/>
    <d v="2026-05-30T00:00:00"/>
    <x v="0"/>
    <n v="580"/>
  </r>
  <r>
    <s v="P165"/>
    <x v="11"/>
    <x v="2"/>
    <x v="4"/>
    <n v="261"/>
    <n v="339.3"/>
    <n v="104"/>
    <x v="0"/>
    <x v="1"/>
    <x v="141"/>
    <d v="2025-08-22T00:00:00"/>
    <x v="1"/>
    <n v="27144"/>
  </r>
  <r>
    <s v="P166"/>
    <x v="18"/>
    <x v="2"/>
    <x v="1"/>
    <n v="255"/>
    <n v="331.5"/>
    <n v="225"/>
    <x v="1"/>
    <x v="0"/>
    <x v="142"/>
    <d v="2025-08-15T00:00:00"/>
    <x v="1"/>
    <n v="57375"/>
  </r>
  <r>
    <s v="P167"/>
    <x v="13"/>
    <x v="1"/>
    <x v="3"/>
    <n v="639"/>
    <n v="894.6"/>
    <n v="152"/>
    <x v="1"/>
    <x v="1"/>
    <x v="143"/>
    <d v="2025-07-30T00:00:00"/>
    <x v="1"/>
    <n v="97128"/>
  </r>
  <r>
    <s v="P168"/>
    <x v="6"/>
    <x v="3"/>
    <x v="4"/>
    <n v="109"/>
    <n v="152.6"/>
    <n v="240"/>
    <x v="0"/>
    <x v="0"/>
    <x v="144"/>
    <d v="2025-05-09T00:00:00"/>
    <x v="1"/>
    <n v="26160"/>
  </r>
  <r>
    <s v="P169"/>
    <x v="9"/>
    <x v="3"/>
    <x v="2"/>
    <n v="274"/>
    <n v="356.2"/>
    <n v="13"/>
    <x v="4"/>
    <x v="1"/>
    <x v="145"/>
    <d v="2025-06-16T00:00:00"/>
    <x v="0"/>
    <n v="3562"/>
  </r>
  <r>
    <s v="P170"/>
    <x v="8"/>
    <x v="0"/>
    <x v="1"/>
    <n v="367"/>
    <n v="440.4"/>
    <n v="124"/>
    <x v="3"/>
    <x v="0"/>
    <x v="146"/>
    <d v="2026-02-24T00:00:00"/>
    <x v="1"/>
    <n v="45508"/>
  </r>
  <r>
    <s v="P171"/>
    <x v="19"/>
    <x v="2"/>
    <x v="5"/>
    <n v="543"/>
    <n v="705.9"/>
    <n v="52"/>
    <x v="5"/>
    <x v="2"/>
    <x v="147"/>
    <d v="2025-01-31T00:00:00"/>
    <x v="1"/>
    <n v="28236"/>
  </r>
  <r>
    <s v="P172"/>
    <x v="13"/>
    <x v="1"/>
    <x v="2"/>
    <n v="155"/>
    <n v="232.5"/>
    <n v="229"/>
    <x v="1"/>
    <x v="2"/>
    <x v="22"/>
    <d v="2026-05-15T00:00:00"/>
    <x v="1"/>
    <n v="35495"/>
  </r>
  <r>
    <s v="P173"/>
    <x v="2"/>
    <x v="0"/>
    <x v="2"/>
    <n v="573"/>
    <n v="859.5"/>
    <n v="216"/>
    <x v="3"/>
    <x v="1"/>
    <x v="148"/>
    <d v="2025-01-27T00:00:00"/>
    <x v="1"/>
    <n v="123768"/>
  </r>
  <r>
    <s v="P174"/>
    <x v="5"/>
    <x v="1"/>
    <x v="0"/>
    <n v="144"/>
    <n v="187.2"/>
    <n v="90"/>
    <x v="3"/>
    <x v="0"/>
    <x v="149"/>
    <d v="2025-06-09T00:00:00"/>
    <x v="1"/>
    <n v="12960"/>
  </r>
  <r>
    <s v="P175"/>
    <x v="1"/>
    <x v="1"/>
    <x v="3"/>
    <n v="76"/>
    <n v="98.8"/>
    <n v="166"/>
    <x v="3"/>
    <x v="0"/>
    <x v="132"/>
    <d v="2025-05-30T00:00:00"/>
    <x v="1"/>
    <n v="12616"/>
  </r>
  <r>
    <s v="P176"/>
    <x v="14"/>
    <x v="1"/>
    <x v="2"/>
    <n v="481"/>
    <n v="673.4"/>
    <n v="159"/>
    <x v="4"/>
    <x v="2"/>
    <x v="150"/>
    <d v="2026-02-16T00:00:00"/>
    <x v="1"/>
    <n v="76479"/>
  </r>
  <r>
    <s v="P177"/>
    <x v="1"/>
    <x v="1"/>
    <x v="4"/>
    <n v="138"/>
    <n v="165.6"/>
    <n v="300"/>
    <x v="1"/>
    <x v="2"/>
    <x v="151"/>
    <d v="2026-01-05T00:00:00"/>
    <x v="1"/>
    <n v="41400"/>
  </r>
  <r>
    <s v="P178"/>
    <x v="2"/>
    <x v="0"/>
    <x v="0"/>
    <n v="168"/>
    <n v="201.6"/>
    <n v="118"/>
    <x v="4"/>
    <x v="1"/>
    <x v="152"/>
    <d v="2026-03-08T00:00:00"/>
    <x v="1"/>
    <n v="19824"/>
  </r>
  <r>
    <s v="P179"/>
    <x v="5"/>
    <x v="1"/>
    <x v="2"/>
    <n v="185"/>
    <n v="259"/>
    <n v="101"/>
    <x v="4"/>
    <x v="1"/>
    <x v="153"/>
    <d v="2026-03-15T00:00:00"/>
    <x v="1"/>
    <n v="18685"/>
  </r>
  <r>
    <s v="P180"/>
    <x v="18"/>
    <x v="2"/>
    <x v="3"/>
    <n v="174"/>
    <n v="243.6"/>
    <n v="48"/>
    <x v="6"/>
    <x v="2"/>
    <x v="76"/>
    <d v="2025-06-17T00:00:00"/>
    <x v="1"/>
    <n v="8352"/>
  </r>
  <r>
    <s v="P181"/>
    <x v="0"/>
    <x v="0"/>
    <x v="5"/>
    <n v="563"/>
    <n v="731.9"/>
    <n v="211"/>
    <x v="2"/>
    <x v="2"/>
    <x v="154"/>
    <d v="2026-07-14T00:00:00"/>
    <x v="1"/>
    <n v="118793"/>
  </r>
  <r>
    <s v="P182"/>
    <x v="22"/>
    <x v="3"/>
    <x v="3"/>
    <n v="197"/>
    <n v="295.5"/>
    <n v="166"/>
    <x v="4"/>
    <x v="2"/>
    <x v="155"/>
    <d v="2025-12-28T00:00:00"/>
    <x v="1"/>
    <n v="32702"/>
  </r>
  <r>
    <s v="P183"/>
    <x v="1"/>
    <x v="1"/>
    <x v="2"/>
    <n v="422"/>
    <n v="506.4"/>
    <n v="217"/>
    <x v="3"/>
    <x v="2"/>
    <x v="25"/>
    <d v="2025-09-12T00:00:00"/>
    <x v="1"/>
    <n v="91574"/>
  </r>
  <r>
    <s v="P184"/>
    <x v="11"/>
    <x v="2"/>
    <x v="2"/>
    <n v="605"/>
    <n v="907.5"/>
    <n v="5"/>
    <x v="3"/>
    <x v="0"/>
    <x v="139"/>
    <d v="2025-05-01T00:00:00"/>
    <x v="0"/>
    <n v="3025"/>
  </r>
  <r>
    <s v="P185"/>
    <x v="12"/>
    <x v="3"/>
    <x v="3"/>
    <n v="254"/>
    <n v="330.2"/>
    <n v="211"/>
    <x v="5"/>
    <x v="0"/>
    <x v="156"/>
    <d v="2026-07-17T00:00:00"/>
    <x v="1"/>
    <n v="53594"/>
  </r>
  <r>
    <s v="P186"/>
    <x v="9"/>
    <x v="3"/>
    <x v="4"/>
    <n v="622"/>
    <n v="933"/>
    <n v="73"/>
    <x v="5"/>
    <x v="1"/>
    <x v="157"/>
    <d v="2025-07-20T00:00:00"/>
    <x v="1"/>
    <n v="45406"/>
  </r>
  <r>
    <s v="P187"/>
    <x v="10"/>
    <x v="1"/>
    <x v="4"/>
    <n v="312"/>
    <n v="468"/>
    <n v="28"/>
    <x v="5"/>
    <x v="0"/>
    <x v="158"/>
    <d v="2026-05-16T00:00:00"/>
    <x v="1"/>
    <n v="8736"/>
  </r>
  <r>
    <s v="P188"/>
    <x v="8"/>
    <x v="0"/>
    <x v="3"/>
    <n v="431"/>
    <n v="517.20000000000005"/>
    <n v="148"/>
    <x v="0"/>
    <x v="2"/>
    <x v="159"/>
    <d v="2025-09-22T00:00:00"/>
    <x v="1"/>
    <n v="63788"/>
  </r>
  <r>
    <s v="P189"/>
    <x v="2"/>
    <x v="0"/>
    <x v="0"/>
    <n v="110"/>
    <n v="132"/>
    <n v="280"/>
    <x v="4"/>
    <x v="0"/>
    <x v="160"/>
    <d v="2025-06-29T00:00:00"/>
    <x v="1"/>
    <n v="30800"/>
  </r>
  <r>
    <s v="P190"/>
    <x v="17"/>
    <x v="2"/>
    <x v="1"/>
    <n v="265"/>
    <n v="397.5"/>
    <n v="256"/>
    <x v="3"/>
    <x v="0"/>
    <x v="161"/>
    <d v="2026-04-16T00:00:00"/>
    <x v="1"/>
    <n v="67840"/>
  </r>
  <r>
    <s v="P191"/>
    <x v="1"/>
    <x v="1"/>
    <x v="0"/>
    <n v="604"/>
    <n v="845.6"/>
    <n v="283"/>
    <x v="2"/>
    <x v="2"/>
    <x v="128"/>
    <d v="2026-03-20T00:00:00"/>
    <x v="1"/>
    <n v="170932"/>
  </r>
  <r>
    <s v="P192"/>
    <x v="16"/>
    <x v="0"/>
    <x v="3"/>
    <n v="86"/>
    <n v="120.4"/>
    <n v="286"/>
    <x v="0"/>
    <x v="2"/>
    <x v="162"/>
    <d v="2025-09-17T00:00:00"/>
    <x v="1"/>
    <n v="24596"/>
  </r>
  <r>
    <s v="P193"/>
    <x v="12"/>
    <x v="3"/>
    <x v="1"/>
    <n v="378"/>
    <n v="491.4"/>
    <n v="271"/>
    <x v="0"/>
    <x v="0"/>
    <x v="101"/>
    <d v="2026-03-22T00:00:00"/>
    <x v="1"/>
    <n v="102438"/>
  </r>
  <r>
    <s v="P194"/>
    <x v="2"/>
    <x v="0"/>
    <x v="1"/>
    <n v="209"/>
    <n v="292.60000000000002"/>
    <n v="42"/>
    <x v="6"/>
    <x v="2"/>
    <x v="49"/>
    <d v="2026-06-18T00:00:00"/>
    <x v="1"/>
    <n v="8778"/>
  </r>
  <r>
    <s v="P195"/>
    <x v="19"/>
    <x v="2"/>
    <x v="2"/>
    <n v="166"/>
    <n v="249"/>
    <n v="256"/>
    <x v="2"/>
    <x v="1"/>
    <x v="163"/>
    <d v="2025-10-25T00:00:00"/>
    <x v="1"/>
    <n v="42496"/>
  </r>
  <r>
    <s v="P196"/>
    <x v="11"/>
    <x v="2"/>
    <x v="1"/>
    <n v="627"/>
    <n v="752.4"/>
    <n v="205"/>
    <x v="4"/>
    <x v="0"/>
    <x v="133"/>
    <d v="2025-06-19T00:00:00"/>
    <x v="1"/>
    <n v="128535"/>
  </r>
  <r>
    <s v="P197"/>
    <x v="1"/>
    <x v="1"/>
    <x v="4"/>
    <n v="648"/>
    <n v="907.2"/>
    <n v="117"/>
    <x v="5"/>
    <x v="1"/>
    <x v="164"/>
    <d v="2026-07-01T00:00:00"/>
    <x v="1"/>
    <n v="75816"/>
  </r>
  <r>
    <s v="P198"/>
    <x v="16"/>
    <x v="0"/>
    <x v="5"/>
    <n v="450"/>
    <n v="630"/>
    <n v="58"/>
    <x v="5"/>
    <x v="0"/>
    <x v="165"/>
    <d v="2026-03-28T00:00:00"/>
    <x v="1"/>
    <n v="26100"/>
  </r>
  <r>
    <s v="P199"/>
    <x v="14"/>
    <x v="1"/>
    <x v="0"/>
    <n v="169"/>
    <n v="202.8"/>
    <n v="42"/>
    <x v="3"/>
    <x v="0"/>
    <x v="166"/>
    <d v="2025-06-08T00:00:00"/>
    <x v="0"/>
    <n v="7098"/>
  </r>
  <r>
    <s v="P200"/>
    <x v="17"/>
    <x v="2"/>
    <x v="4"/>
    <n v="221"/>
    <n v="309.39999999999998"/>
    <n v="12"/>
    <x v="4"/>
    <x v="0"/>
    <x v="167"/>
    <d v="2026-02-25T00:00:00"/>
    <x v="0"/>
    <n v="2652"/>
  </r>
  <r>
    <s v="P201"/>
    <x v="0"/>
    <x v="0"/>
    <x v="2"/>
    <n v="328"/>
    <n v="426.4"/>
    <n v="102"/>
    <x v="6"/>
    <x v="1"/>
    <x v="42"/>
    <d v="2025-03-03T00:00:00"/>
    <x v="1"/>
    <n v="33456"/>
  </r>
  <r>
    <s v="P202"/>
    <x v="15"/>
    <x v="3"/>
    <x v="3"/>
    <n v="594"/>
    <n v="891"/>
    <n v="3"/>
    <x v="0"/>
    <x v="0"/>
    <x v="106"/>
    <d v="2025-03-25T00:00:00"/>
    <x v="0"/>
    <n v="1782"/>
  </r>
  <r>
    <s v="P203"/>
    <x v="7"/>
    <x v="0"/>
    <x v="5"/>
    <n v="134"/>
    <n v="174.2"/>
    <n v="169"/>
    <x v="5"/>
    <x v="1"/>
    <x v="158"/>
    <d v="2026-05-07T00:00:00"/>
    <x v="1"/>
    <n v="22646"/>
  </r>
  <r>
    <s v="P204"/>
    <x v="7"/>
    <x v="0"/>
    <x v="4"/>
    <n v="640"/>
    <n v="768"/>
    <n v="29"/>
    <x v="2"/>
    <x v="0"/>
    <x v="168"/>
    <d v="2025-12-08T00:00:00"/>
    <x v="0"/>
    <n v="18560"/>
  </r>
  <r>
    <s v="P205"/>
    <x v="7"/>
    <x v="0"/>
    <x v="3"/>
    <n v="617"/>
    <n v="863.8"/>
    <n v="146"/>
    <x v="2"/>
    <x v="2"/>
    <x v="169"/>
    <d v="2025-07-21T00:00:00"/>
    <x v="1"/>
    <n v="90082"/>
  </r>
  <r>
    <s v="P206"/>
    <x v="13"/>
    <x v="1"/>
    <x v="1"/>
    <n v="116"/>
    <n v="150.80000000000001"/>
    <n v="115"/>
    <x v="4"/>
    <x v="0"/>
    <x v="170"/>
    <d v="2025-05-29T00:00:00"/>
    <x v="1"/>
    <n v="13340"/>
  </r>
  <r>
    <s v="P207"/>
    <x v="19"/>
    <x v="2"/>
    <x v="5"/>
    <n v="339"/>
    <n v="406.8"/>
    <n v="65"/>
    <x v="4"/>
    <x v="0"/>
    <x v="105"/>
    <d v="2025-11-01T00:00:00"/>
    <x v="1"/>
    <n v="22035"/>
  </r>
  <r>
    <s v="P208"/>
    <x v="2"/>
    <x v="0"/>
    <x v="2"/>
    <n v="309"/>
    <n v="370.8"/>
    <n v="6"/>
    <x v="2"/>
    <x v="1"/>
    <x v="171"/>
    <d v="2026-03-29T00:00:00"/>
    <x v="0"/>
    <n v="1854"/>
  </r>
  <r>
    <s v="P209"/>
    <x v="17"/>
    <x v="2"/>
    <x v="2"/>
    <n v="184"/>
    <n v="276"/>
    <n v="148"/>
    <x v="0"/>
    <x v="0"/>
    <x v="88"/>
    <d v="2026-04-15T00:00:00"/>
    <x v="1"/>
    <n v="27232"/>
  </r>
  <r>
    <s v="P210"/>
    <x v="17"/>
    <x v="2"/>
    <x v="2"/>
    <n v="161"/>
    <n v="225.4"/>
    <n v="257"/>
    <x v="5"/>
    <x v="0"/>
    <x v="103"/>
    <d v="2025-04-17T00:00:00"/>
    <x v="1"/>
    <n v="41377"/>
  </r>
  <r>
    <s v="P211"/>
    <x v="22"/>
    <x v="3"/>
    <x v="3"/>
    <n v="410"/>
    <n v="615"/>
    <n v="216"/>
    <x v="5"/>
    <x v="0"/>
    <x v="172"/>
    <d v="2026-05-24T00:00:00"/>
    <x v="1"/>
    <n v="88560"/>
  </r>
  <r>
    <s v="P212"/>
    <x v="14"/>
    <x v="1"/>
    <x v="0"/>
    <n v="199"/>
    <n v="258.7"/>
    <n v="128"/>
    <x v="0"/>
    <x v="2"/>
    <x v="173"/>
    <d v="2025-11-23T00:00:00"/>
    <x v="1"/>
    <n v="25472"/>
  </r>
  <r>
    <s v="P213"/>
    <x v="20"/>
    <x v="1"/>
    <x v="5"/>
    <n v="674"/>
    <n v="876.2"/>
    <n v="41"/>
    <x v="3"/>
    <x v="1"/>
    <x v="174"/>
    <d v="2025-06-12T00:00:00"/>
    <x v="0"/>
    <n v="27634"/>
  </r>
  <r>
    <s v="P214"/>
    <x v="7"/>
    <x v="0"/>
    <x v="5"/>
    <n v="113"/>
    <n v="135.6"/>
    <n v="60"/>
    <x v="4"/>
    <x v="0"/>
    <x v="58"/>
    <d v="2025-07-15T00:00:00"/>
    <x v="1"/>
    <n v="6780"/>
  </r>
  <r>
    <s v="P215"/>
    <x v="8"/>
    <x v="0"/>
    <x v="0"/>
    <n v="477"/>
    <n v="715.5"/>
    <n v="166"/>
    <x v="5"/>
    <x v="1"/>
    <x v="173"/>
    <d v="2026-01-07T00:00:00"/>
    <x v="1"/>
    <n v="79182"/>
  </r>
  <r>
    <s v="P216"/>
    <x v="0"/>
    <x v="0"/>
    <x v="4"/>
    <n v="298"/>
    <n v="357.6"/>
    <n v="200"/>
    <x v="4"/>
    <x v="2"/>
    <x v="139"/>
    <d v="2025-04-27T00:00:00"/>
    <x v="1"/>
    <n v="59600"/>
  </r>
  <r>
    <s v="P217"/>
    <x v="13"/>
    <x v="1"/>
    <x v="2"/>
    <n v="542"/>
    <n v="758.8"/>
    <n v="50"/>
    <x v="3"/>
    <x v="0"/>
    <x v="4"/>
    <d v="2026-07-25T00:00:00"/>
    <x v="0"/>
    <n v="27100"/>
  </r>
  <r>
    <s v="P218"/>
    <x v="3"/>
    <x v="2"/>
    <x v="5"/>
    <n v="571"/>
    <n v="856.5"/>
    <n v="35"/>
    <x v="2"/>
    <x v="1"/>
    <x v="48"/>
    <d v="2025-10-31T00:00:00"/>
    <x v="0"/>
    <n v="19985"/>
  </r>
  <r>
    <s v="P219"/>
    <x v="14"/>
    <x v="1"/>
    <x v="4"/>
    <n v="519"/>
    <n v="622.79999999999995"/>
    <n v="183"/>
    <x v="1"/>
    <x v="0"/>
    <x v="175"/>
    <d v="2026-02-01T00:00:00"/>
    <x v="1"/>
    <n v="94977"/>
  </r>
  <r>
    <s v="P220"/>
    <x v="8"/>
    <x v="0"/>
    <x v="3"/>
    <n v="222"/>
    <n v="333"/>
    <n v="147"/>
    <x v="3"/>
    <x v="1"/>
    <x v="176"/>
    <d v="2025-10-30T00:00:00"/>
    <x v="1"/>
    <n v="32634"/>
  </r>
  <r>
    <s v="P221"/>
    <x v="12"/>
    <x v="3"/>
    <x v="5"/>
    <n v="233"/>
    <n v="279.60000000000002"/>
    <n v="253"/>
    <x v="6"/>
    <x v="0"/>
    <x v="177"/>
    <d v="2025-06-28T00:00:00"/>
    <x v="1"/>
    <n v="58949"/>
  </r>
  <r>
    <s v="P222"/>
    <x v="15"/>
    <x v="3"/>
    <x v="2"/>
    <n v="326"/>
    <n v="489"/>
    <n v="262"/>
    <x v="1"/>
    <x v="0"/>
    <x v="178"/>
    <d v="2025-11-26T00:00:00"/>
    <x v="1"/>
    <n v="85412"/>
  </r>
  <r>
    <s v="P223"/>
    <x v="21"/>
    <x v="3"/>
    <x v="1"/>
    <n v="412"/>
    <n v="535.6"/>
    <n v="247"/>
    <x v="4"/>
    <x v="0"/>
    <x v="179"/>
    <d v="2025-09-03T00:00:00"/>
    <x v="1"/>
    <n v="101764"/>
  </r>
  <r>
    <s v="P224"/>
    <x v="18"/>
    <x v="2"/>
    <x v="1"/>
    <n v="24"/>
    <n v="36"/>
    <n v="26"/>
    <x v="0"/>
    <x v="2"/>
    <x v="180"/>
    <d v="2025-12-01T00:00:00"/>
    <x v="1"/>
    <n v="624"/>
  </r>
  <r>
    <s v="P225"/>
    <x v="14"/>
    <x v="1"/>
    <x v="5"/>
    <n v="613"/>
    <n v="858.2"/>
    <n v="75"/>
    <x v="5"/>
    <x v="1"/>
    <x v="181"/>
    <d v="2025-06-06T00:00:00"/>
    <x v="1"/>
    <n v="45975"/>
  </r>
  <r>
    <s v="P226"/>
    <x v="3"/>
    <x v="2"/>
    <x v="4"/>
    <n v="12"/>
    <n v="18"/>
    <n v="83"/>
    <x v="6"/>
    <x v="1"/>
    <x v="117"/>
    <d v="2026-05-06T00:00:00"/>
    <x v="1"/>
    <n v="996"/>
  </r>
  <r>
    <s v="P227"/>
    <x v="7"/>
    <x v="0"/>
    <x v="1"/>
    <n v="369"/>
    <n v="442.8"/>
    <n v="37"/>
    <x v="1"/>
    <x v="1"/>
    <x v="182"/>
    <d v="2026-06-13T00:00:00"/>
    <x v="1"/>
    <n v="13653"/>
  </r>
  <r>
    <s v="P228"/>
    <x v="14"/>
    <x v="1"/>
    <x v="1"/>
    <n v="381"/>
    <n v="533.4"/>
    <n v="218"/>
    <x v="0"/>
    <x v="0"/>
    <x v="183"/>
    <d v="2026-06-10T00:00:00"/>
    <x v="1"/>
    <n v="83058"/>
  </r>
  <r>
    <s v="P229"/>
    <x v="0"/>
    <x v="0"/>
    <x v="0"/>
    <n v="186"/>
    <n v="279"/>
    <n v="180"/>
    <x v="6"/>
    <x v="0"/>
    <x v="184"/>
    <d v="2025-11-29T00:00:00"/>
    <x v="1"/>
    <n v="33480"/>
  </r>
  <r>
    <s v="P230"/>
    <x v="10"/>
    <x v="1"/>
    <x v="0"/>
    <n v="238"/>
    <n v="357"/>
    <n v="211"/>
    <x v="2"/>
    <x v="1"/>
    <x v="144"/>
    <d v="2025-03-15T00:00:00"/>
    <x v="1"/>
    <n v="50218"/>
  </r>
  <r>
    <s v="P231"/>
    <x v="3"/>
    <x v="2"/>
    <x v="0"/>
    <n v="250"/>
    <n v="375"/>
    <n v="42"/>
    <x v="4"/>
    <x v="1"/>
    <x v="185"/>
    <d v="2025-07-08T00:00:00"/>
    <x v="1"/>
    <n v="10500"/>
  </r>
  <r>
    <s v="P232"/>
    <x v="6"/>
    <x v="3"/>
    <x v="5"/>
    <n v="438"/>
    <n v="569.4"/>
    <n v="278"/>
    <x v="0"/>
    <x v="0"/>
    <x v="186"/>
    <d v="2025-09-27T00:00:00"/>
    <x v="1"/>
    <n v="121764"/>
  </r>
  <r>
    <s v="P233"/>
    <x v="15"/>
    <x v="3"/>
    <x v="4"/>
    <n v="650"/>
    <n v="780"/>
    <n v="111"/>
    <x v="3"/>
    <x v="1"/>
    <x v="185"/>
    <d v="2025-06-28T00:00:00"/>
    <x v="1"/>
    <n v="72150"/>
  </r>
  <r>
    <s v="P234"/>
    <x v="14"/>
    <x v="1"/>
    <x v="4"/>
    <n v="92"/>
    <n v="110.4"/>
    <n v="185"/>
    <x v="3"/>
    <x v="0"/>
    <x v="180"/>
    <d v="2025-10-13T00:00:00"/>
    <x v="1"/>
    <n v="17020"/>
  </r>
  <r>
    <s v="P235"/>
    <x v="13"/>
    <x v="1"/>
    <x v="2"/>
    <n v="532"/>
    <n v="691.6"/>
    <n v="98"/>
    <x v="0"/>
    <x v="0"/>
    <x v="90"/>
    <d v="2025-02-13T00:00:00"/>
    <x v="1"/>
    <n v="52136"/>
  </r>
  <r>
    <s v="P236"/>
    <x v="20"/>
    <x v="1"/>
    <x v="5"/>
    <n v="522"/>
    <n v="678.6"/>
    <n v="171"/>
    <x v="6"/>
    <x v="2"/>
    <x v="124"/>
    <d v="2026-03-31T00:00:00"/>
    <x v="1"/>
    <n v="89262"/>
  </r>
  <r>
    <s v="P237"/>
    <x v="2"/>
    <x v="0"/>
    <x v="4"/>
    <n v="395"/>
    <n v="513.5"/>
    <n v="78"/>
    <x v="5"/>
    <x v="0"/>
    <x v="181"/>
    <d v="2025-05-30T00:00:00"/>
    <x v="1"/>
    <n v="30810"/>
  </r>
  <r>
    <s v="P238"/>
    <x v="10"/>
    <x v="1"/>
    <x v="1"/>
    <n v="497"/>
    <n v="596.4"/>
    <n v="141"/>
    <x v="6"/>
    <x v="2"/>
    <x v="187"/>
    <d v="2025-08-15T00:00:00"/>
    <x v="1"/>
    <n v="70077"/>
  </r>
  <r>
    <s v="P239"/>
    <x v="17"/>
    <x v="2"/>
    <x v="1"/>
    <n v="524"/>
    <n v="733.6"/>
    <n v="160"/>
    <x v="2"/>
    <x v="2"/>
    <x v="188"/>
    <d v="2025-09-06T00:00:00"/>
    <x v="1"/>
    <n v="83840"/>
  </r>
  <r>
    <s v="P240"/>
    <x v="4"/>
    <x v="3"/>
    <x v="5"/>
    <n v="228"/>
    <n v="296.39999999999998"/>
    <n v="230"/>
    <x v="5"/>
    <x v="1"/>
    <x v="123"/>
    <d v="2026-04-01T00:00:00"/>
    <x v="1"/>
    <n v="52440"/>
  </r>
  <r>
    <s v="P241"/>
    <x v="11"/>
    <x v="2"/>
    <x v="1"/>
    <n v="396"/>
    <n v="475.2"/>
    <n v="74"/>
    <x v="1"/>
    <x v="0"/>
    <x v="189"/>
    <d v="2026-05-24T00:00:00"/>
    <x v="1"/>
    <n v="29304"/>
  </r>
  <r>
    <s v="P242"/>
    <x v="18"/>
    <x v="2"/>
    <x v="3"/>
    <n v="104"/>
    <n v="124.8"/>
    <n v="145"/>
    <x v="2"/>
    <x v="0"/>
    <x v="158"/>
    <d v="2026-06-06T00:00:00"/>
    <x v="1"/>
    <n v="15080"/>
  </r>
  <r>
    <s v="P243"/>
    <x v="14"/>
    <x v="1"/>
    <x v="5"/>
    <n v="56"/>
    <n v="78.400000000000006"/>
    <n v="159"/>
    <x v="4"/>
    <x v="2"/>
    <x v="190"/>
    <d v="2025-02-11T00:00:00"/>
    <x v="1"/>
    <n v="8904"/>
  </r>
  <r>
    <s v="P244"/>
    <x v="19"/>
    <x v="2"/>
    <x v="0"/>
    <n v="414"/>
    <n v="538.20000000000005"/>
    <n v="237"/>
    <x v="2"/>
    <x v="0"/>
    <x v="191"/>
    <d v="2026-03-05T00:00:00"/>
    <x v="1"/>
    <n v="98118"/>
  </r>
  <r>
    <s v="P245"/>
    <x v="20"/>
    <x v="1"/>
    <x v="5"/>
    <n v="20"/>
    <n v="28"/>
    <n v="72"/>
    <x v="0"/>
    <x v="0"/>
    <x v="122"/>
    <d v="2025-07-17T00:00:00"/>
    <x v="1"/>
    <n v="1440"/>
  </r>
  <r>
    <s v="P246"/>
    <x v="15"/>
    <x v="3"/>
    <x v="1"/>
    <n v="661"/>
    <n v="991.5"/>
    <n v="137"/>
    <x v="6"/>
    <x v="2"/>
    <x v="39"/>
    <d v="2025-12-15T00:00:00"/>
    <x v="1"/>
    <n v="90557"/>
  </r>
  <r>
    <s v="P247"/>
    <x v="14"/>
    <x v="1"/>
    <x v="0"/>
    <n v="629"/>
    <n v="943.5"/>
    <n v="274"/>
    <x v="6"/>
    <x v="2"/>
    <x v="133"/>
    <d v="2025-06-02T00:00:00"/>
    <x v="1"/>
    <n v="172346"/>
  </r>
  <r>
    <s v="P248"/>
    <x v="5"/>
    <x v="1"/>
    <x v="5"/>
    <n v="676"/>
    <n v="811.2"/>
    <n v="97"/>
    <x v="2"/>
    <x v="1"/>
    <x v="192"/>
    <d v="2025-06-19T00:00:00"/>
    <x v="1"/>
    <n v="65572"/>
  </r>
  <r>
    <s v="P249"/>
    <x v="20"/>
    <x v="1"/>
    <x v="1"/>
    <n v="368"/>
    <n v="552"/>
    <n v="48"/>
    <x v="4"/>
    <x v="2"/>
    <x v="193"/>
    <d v="2025-08-24T00:00:00"/>
    <x v="1"/>
    <n v="17664"/>
  </r>
  <r>
    <s v="P250"/>
    <x v="19"/>
    <x v="2"/>
    <x v="3"/>
    <n v="686"/>
    <n v="823.2"/>
    <n v="111"/>
    <x v="0"/>
    <x v="0"/>
    <x v="109"/>
    <d v="2026-03-18T00:00:00"/>
    <x v="1"/>
    <n v="76146"/>
  </r>
  <r>
    <s v="P251"/>
    <x v="11"/>
    <x v="2"/>
    <x v="2"/>
    <n v="618"/>
    <n v="803.4"/>
    <n v="150"/>
    <x v="5"/>
    <x v="0"/>
    <x v="106"/>
    <d v="2025-05-24T00:00:00"/>
    <x v="1"/>
    <n v="92700"/>
  </r>
  <r>
    <s v="P252"/>
    <x v="2"/>
    <x v="0"/>
    <x v="5"/>
    <n v="479"/>
    <n v="622.70000000000005"/>
    <n v="173"/>
    <x v="0"/>
    <x v="1"/>
    <x v="24"/>
    <d v="2026-05-01T00:00:00"/>
    <x v="1"/>
    <n v="82867"/>
  </r>
  <r>
    <s v="P253"/>
    <x v="9"/>
    <x v="3"/>
    <x v="0"/>
    <n v="438"/>
    <n v="569.4"/>
    <n v="32"/>
    <x v="3"/>
    <x v="0"/>
    <x v="194"/>
    <d v="2025-09-14T00:00:00"/>
    <x v="0"/>
    <n v="14016"/>
  </r>
  <r>
    <s v="P254"/>
    <x v="3"/>
    <x v="2"/>
    <x v="2"/>
    <n v="107"/>
    <n v="149.80000000000001"/>
    <n v="215"/>
    <x v="0"/>
    <x v="2"/>
    <x v="195"/>
    <d v="2025-12-04T00:00:00"/>
    <x v="1"/>
    <n v="23005"/>
  </r>
  <r>
    <s v="P255"/>
    <x v="15"/>
    <x v="3"/>
    <x v="1"/>
    <n v="137"/>
    <n v="178.1"/>
    <n v="120"/>
    <x v="3"/>
    <x v="2"/>
    <x v="196"/>
    <d v="2026-05-13T00:00:00"/>
    <x v="1"/>
    <n v="16440"/>
  </r>
  <r>
    <s v="P256"/>
    <x v="0"/>
    <x v="0"/>
    <x v="4"/>
    <n v="682"/>
    <n v="818.4"/>
    <n v="149"/>
    <x v="6"/>
    <x v="2"/>
    <x v="73"/>
    <d v="2026-04-14T00:00:00"/>
    <x v="1"/>
    <n v="101618"/>
  </r>
  <r>
    <s v="P257"/>
    <x v="16"/>
    <x v="0"/>
    <x v="1"/>
    <n v="450"/>
    <n v="630"/>
    <n v="221"/>
    <x v="5"/>
    <x v="0"/>
    <x v="168"/>
    <d v="2025-11-10T00:00:00"/>
    <x v="1"/>
    <n v="99450"/>
  </r>
  <r>
    <s v="P258"/>
    <x v="19"/>
    <x v="2"/>
    <x v="2"/>
    <n v="338"/>
    <n v="507"/>
    <n v="97"/>
    <x v="1"/>
    <x v="2"/>
    <x v="177"/>
    <d v="2025-06-16T00:00:00"/>
    <x v="1"/>
    <n v="32786"/>
  </r>
  <r>
    <s v="P259"/>
    <x v="4"/>
    <x v="3"/>
    <x v="0"/>
    <n v="462"/>
    <n v="554.4"/>
    <n v="46"/>
    <x v="3"/>
    <x v="2"/>
    <x v="197"/>
    <d v="2025-06-22T00:00:00"/>
    <x v="0"/>
    <n v="21252"/>
  </r>
  <r>
    <s v="P260"/>
    <x v="18"/>
    <x v="2"/>
    <x v="1"/>
    <n v="375"/>
    <n v="487.5"/>
    <n v="205"/>
    <x v="5"/>
    <x v="0"/>
    <x v="198"/>
    <d v="2025-05-10T00:00:00"/>
    <x v="1"/>
    <n v="76875"/>
  </r>
  <r>
    <s v="P261"/>
    <x v="16"/>
    <x v="0"/>
    <x v="3"/>
    <n v="651"/>
    <n v="846.3"/>
    <n v="89"/>
    <x v="1"/>
    <x v="2"/>
    <x v="120"/>
    <d v="2025-10-03T00:00:00"/>
    <x v="1"/>
    <n v="57939"/>
  </r>
  <r>
    <s v="P262"/>
    <x v="17"/>
    <x v="2"/>
    <x v="5"/>
    <n v="30"/>
    <n v="42"/>
    <n v="189"/>
    <x v="4"/>
    <x v="0"/>
    <x v="199"/>
    <d v="2025-05-27T00:00:00"/>
    <x v="1"/>
    <n v="5670"/>
  </r>
  <r>
    <s v="P263"/>
    <x v="1"/>
    <x v="1"/>
    <x v="2"/>
    <n v="505"/>
    <n v="656.5"/>
    <n v="150"/>
    <x v="6"/>
    <x v="0"/>
    <x v="200"/>
    <d v="2025-02-03T00:00:00"/>
    <x v="1"/>
    <n v="75750"/>
  </r>
  <r>
    <s v="P264"/>
    <x v="6"/>
    <x v="3"/>
    <x v="5"/>
    <n v="616"/>
    <n v="924"/>
    <n v="151"/>
    <x v="5"/>
    <x v="2"/>
    <x v="67"/>
    <d v="2026-05-14T00:00:00"/>
    <x v="1"/>
    <n v="93016"/>
  </r>
  <r>
    <s v="P265"/>
    <x v="2"/>
    <x v="0"/>
    <x v="2"/>
    <n v="169"/>
    <n v="202.8"/>
    <n v="125"/>
    <x v="6"/>
    <x v="1"/>
    <x v="201"/>
    <d v="2026-05-11T00:00:00"/>
    <x v="1"/>
    <n v="21125"/>
  </r>
  <r>
    <s v="P266"/>
    <x v="11"/>
    <x v="2"/>
    <x v="0"/>
    <n v="324"/>
    <n v="453.6"/>
    <n v="19"/>
    <x v="5"/>
    <x v="2"/>
    <x v="202"/>
    <d v="2025-01-09T00:00:00"/>
    <x v="1"/>
    <n v="6156"/>
  </r>
  <r>
    <s v="P267"/>
    <x v="2"/>
    <x v="0"/>
    <x v="2"/>
    <n v="136"/>
    <n v="204"/>
    <n v="3"/>
    <x v="5"/>
    <x v="2"/>
    <x v="203"/>
    <d v="2025-12-07T00:00:00"/>
    <x v="0"/>
    <n v="408"/>
  </r>
  <r>
    <s v="P268"/>
    <x v="8"/>
    <x v="0"/>
    <x v="0"/>
    <n v="405"/>
    <n v="607.5"/>
    <n v="69"/>
    <x v="1"/>
    <x v="1"/>
    <x v="204"/>
    <d v="2025-12-10T00:00:00"/>
    <x v="1"/>
    <n v="27945"/>
  </r>
  <r>
    <s v="P269"/>
    <x v="8"/>
    <x v="0"/>
    <x v="0"/>
    <n v="666"/>
    <n v="932.4"/>
    <n v="164"/>
    <x v="0"/>
    <x v="0"/>
    <x v="205"/>
    <d v="2025-10-27T00:00:00"/>
    <x v="1"/>
    <n v="109224"/>
  </r>
  <r>
    <s v="P270"/>
    <x v="3"/>
    <x v="2"/>
    <x v="5"/>
    <n v="580"/>
    <n v="812"/>
    <n v="126"/>
    <x v="1"/>
    <x v="1"/>
    <x v="206"/>
    <d v="2026-05-16T00:00:00"/>
    <x v="1"/>
    <n v="73080"/>
  </r>
  <r>
    <s v="P271"/>
    <x v="20"/>
    <x v="1"/>
    <x v="3"/>
    <n v="542"/>
    <n v="758.8"/>
    <n v="18"/>
    <x v="0"/>
    <x v="0"/>
    <x v="207"/>
    <d v="2025-09-28T00:00:00"/>
    <x v="0"/>
    <n v="9756"/>
  </r>
  <r>
    <s v="P272"/>
    <x v="18"/>
    <x v="2"/>
    <x v="3"/>
    <n v="371"/>
    <n v="445.2"/>
    <n v="252"/>
    <x v="4"/>
    <x v="0"/>
    <x v="208"/>
    <d v="2026-04-09T00:00:00"/>
    <x v="1"/>
    <n v="93492"/>
  </r>
  <r>
    <s v="P273"/>
    <x v="17"/>
    <x v="2"/>
    <x v="4"/>
    <n v="656"/>
    <n v="918.4"/>
    <n v="0"/>
    <x v="0"/>
    <x v="1"/>
    <x v="209"/>
    <d v="2025-07-10T00:00:00"/>
    <x v="2"/>
    <n v="0"/>
  </r>
  <r>
    <s v="P274"/>
    <x v="9"/>
    <x v="3"/>
    <x v="3"/>
    <n v="499"/>
    <n v="748.5"/>
    <n v="144"/>
    <x v="5"/>
    <x v="2"/>
    <x v="14"/>
    <d v="2025-11-11T00:00:00"/>
    <x v="1"/>
    <n v="71856"/>
  </r>
  <r>
    <s v="P275"/>
    <x v="8"/>
    <x v="0"/>
    <x v="4"/>
    <n v="493"/>
    <n v="690.2"/>
    <n v="154"/>
    <x v="0"/>
    <x v="2"/>
    <x v="210"/>
    <d v="2025-02-10T00:00:00"/>
    <x v="1"/>
    <n v="75922"/>
  </r>
  <r>
    <s v="P276"/>
    <x v="3"/>
    <x v="2"/>
    <x v="3"/>
    <n v="388"/>
    <n v="582"/>
    <n v="20"/>
    <x v="5"/>
    <x v="0"/>
    <x v="171"/>
    <d v="2026-05-06T00:00:00"/>
    <x v="1"/>
    <n v="7760"/>
  </r>
  <r>
    <s v="P277"/>
    <x v="10"/>
    <x v="1"/>
    <x v="4"/>
    <n v="656"/>
    <n v="852.8"/>
    <n v="143"/>
    <x v="2"/>
    <x v="0"/>
    <x v="211"/>
    <d v="2026-01-07T00:00:00"/>
    <x v="1"/>
    <n v="93808"/>
  </r>
  <r>
    <s v="P278"/>
    <x v="6"/>
    <x v="3"/>
    <x v="3"/>
    <n v="107"/>
    <n v="128.4"/>
    <n v="205"/>
    <x v="5"/>
    <x v="0"/>
    <x v="212"/>
    <d v="2025-06-25T00:00:00"/>
    <x v="1"/>
    <n v="21935"/>
  </r>
  <r>
    <s v="P279"/>
    <x v="1"/>
    <x v="1"/>
    <x v="3"/>
    <n v="114"/>
    <n v="136.80000000000001"/>
    <n v="97"/>
    <x v="2"/>
    <x v="1"/>
    <x v="26"/>
    <d v="2025-05-02T00:00:00"/>
    <x v="1"/>
    <n v="11058"/>
  </r>
  <r>
    <s v="P280"/>
    <x v="3"/>
    <x v="2"/>
    <x v="3"/>
    <n v="241"/>
    <n v="313.3"/>
    <n v="229"/>
    <x v="4"/>
    <x v="1"/>
    <x v="213"/>
    <d v="2026-08-10T00:00:00"/>
    <x v="1"/>
    <n v="55189"/>
  </r>
  <r>
    <s v="P281"/>
    <x v="11"/>
    <x v="2"/>
    <x v="2"/>
    <n v="394"/>
    <n v="551.6"/>
    <n v="222"/>
    <x v="5"/>
    <x v="0"/>
    <x v="44"/>
    <d v="2026-07-12T00:00:00"/>
    <x v="1"/>
    <n v="87468"/>
  </r>
  <r>
    <s v="P282"/>
    <x v="8"/>
    <x v="0"/>
    <x v="5"/>
    <n v="589"/>
    <n v="765.7"/>
    <n v="141"/>
    <x v="5"/>
    <x v="1"/>
    <x v="214"/>
    <d v="2025-07-11T00:00:00"/>
    <x v="1"/>
    <n v="83049"/>
  </r>
  <r>
    <s v="P283"/>
    <x v="4"/>
    <x v="3"/>
    <x v="4"/>
    <n v="569"/>
    <n v="739.7"/>
    <n v="96"/>
    <x v="4"/>
    <x v="2"/>
    <x v="15"/>
    <d v="2025-10-15T00:00:00"/>
    <x v="1"/>
    <n v="54624"/>
  </r>
  <r>
    <s v="P284"/>
    <x v="7"/>
    <x v="0"/>
    <x v="2"/>
    <n v="565"/>
    <n v="847.5"/>
    <n v="198"/>
    <x v="2"/>
    <x v="2"/>
    <x v="215"/>
    <d v="2026-02-21T00:00:00"/>
    <x v="1"/>
    <n v="111870"/>
  </r>
  <r>
    <s v="P285"/>
    <x v="21"/>
    <x v="3"/>
    <x v="0"/>
    <n v="657"/>
    <n v="854.1"/>
    <n v="62"/>
    <x v="0"/>
    <x v="0"/>
    <x v="216"/>
    <d v="2025-12-21T00:00:00"/>
    <x v="1"/>
    <n v="40734"/>
  </r>
  <r>
    <s v="P286"/>
    <x v="4"/>
    <x v="3"/>
    <x v="2"/>
    <n v="219"/>
    <n v="262.8"/>
    <n v="203"/>
    <x v="0"/>
    <x v="1"/>
    <x v="107"/>
    <d v="2025-08-23T00:00:00"/>
    <x v="1"/>
    <n v="44457"/>
  </r>
  <r>
    <s v="P287"/>
    <x v="10"/>
    <x v="1"/>
    <x v="2"/>
    <n v="410"/>
    <n v="574"/>
    <n v="131"/>
    <x v="0"/>
    <x v="1"/>
    <x v="217"/>
    <d v="2025-03-29T00:00:00"/>
    <x v="1"/>
    <n v="53710"/>
  </r>
  <r>
    <s v="P288"/>
    <x v="0"/>
    <x v="0"/>
    <x v="4"/>
    <n v="186"/>
    <n v="260.39999999999998"/>
    <n v="295"/>
    <x v="5"/>
    <x v="2"/>
    <x v="218"/>
    <d v="2026-04-09T00:00:00"/>
    <x v="1"/>
    <n v="54870"/>
  </r>
  <r>
    <s v="P289"/>
    <x v="12"/>
    <x v="3"/>
    <x v="3"/>
    <n v="611"/>
    <n v="916.5"/>
    <n v="198"/>
    <x v="6"/>
    <x v="0"/>
    <x v="112"/>
    <d v="2025-10-15T00:00:00"/>
    <x v="1"/>
    <n v="120978"/>
  </r>
  <r>
    <s v="P290"/>
    <x v="21"/>
    <x v="3"/>
    <x v="5"/>
    <n v="194"/>
    <n v="232.8"/>
    <n v="84"/>
    <x v="2"/>
    <x v="0"/>
    <x v="219"/>
    <d v="2025-08-13T00:00:00"/>
    <x v="1"/>
    <n v="16296"/>
  </r>
  <r>
    <s v="P291"/>
    <x v="17"/>
    <x v="2"/>
    <x v="4"/>
    <n v="90"/>
    <n v="117"/>
    <n v="134"/>
    <x v="0"/>
    <x v="2"/>
    <x v="220"/>
    <d v="2025-04-22T00:00:00"/>
    <x v="1"/>
    <n v="12060"/>
  </r>
  <r>
    <s v="P292"/>
    <x v="16"/>
    <x v="0"/>
    <x v="5"/>
    <n v="61"/>
    <n v="73.2"/>
    <n v="252"/>
    <x v="0"/>
    <x v="2"/>
    <x v="221"/>
    <d v="2025-11-18T00:00:00"/>
    <x v="1"/>
    <n v="15372"/>
  </r>
  <r>
    <s v="P293"/>
    <x v="14"/>
    <x v="1"/>
    <x v="1"/>
    <n v="84"/>
    <n v="100.8"/>
    <n v="1"/>
    <x v="4"/>
    <x v="2"/>
    <x v="222"/>
    <d v="2026-04-08T00:00:00"/>
    <x v="0"/>
    <n v="84"/>
  </r>
  <r>
    <s v="P294"/>
    <x v="3"/>
    <x v="2"/>
    <x v="0"/>
    <n v="284"/>
    <n v="340.8"/>
    <n v="216"/>
    <x v="1"/>
    <x v="0"/>
    <x v="223"/>
    <d v="2025-08-14T00:00:00"/>
    <x v="1"/>
    <n v="61344"/>
  </r>
  <r>
    <s v="P295"/>
    <x v="0"/>
    <x v="0"/>
    <x v="3"/>
    <n v="531"/>
    <n v="796.5"/>
    <n v="105"/>
    <x v="2"/>
    <x v="1"/>
    <x v="224"/>
    <d v="2026-01-19T00:00:00"/>
    <x v="1"/>
    <n v="55755"/>
  </r>
  <r>
    <s v="P296"/>
    <x v="19"/>
    <x v="2"/>
    <x v="4"/>
    <n v="128"/>
    <n v="179.2"/>
    <n v="272"/>
    <x v="1"/>
    <x v="1"/>
    <x v="225"/>
    <d v="2026-08-08T00:00:00"/>
    <x v="1"/>
    <n v="34816"/>
  </r>
  <r>
    <s v="P297"/>
    <x v="20"/>
    <x v="1"/>
    <x v="1"/>
    <n v="134"/>
    <n v="187.6"/>
    <n v="12"/>
    <x v="2"/>
    <x v="0"/>
    <x v="80"/>
    <d v="2025-05-14T00:00:00"/>
    <x v="0"/>
    <n v="1608"/>
  </r>
  <r>
    <s v="P298"/>
    <x v="7"/>
    <x v="0"/>
    <x v="1"/>
    <n v="195"/>
    <n v="253.5"/>
    <n v="164"/>
    <x v="3"/>
    <x v="0"/>
    <x v="12"/>
    <d v="2026-03-25T00:00:00"/>
    <x v="1"/>
    <n v="31980"/>
  </r>
  <r>
    <s v="P299"/>
    <x v="6"/>
    <x v="3"/>
    <x v="0"/>
    <n v="423"/>
    <n v="507.6"/>
    <n v="151"/>
    <x v="0"/>
    <x v="0"/>
    <x v="226"/>
    <d v="2026-05-02T00:00:00"/>
    <x v="1"/>
    <n v="63873"/>
  </r>
  <r>
    <s v="P300"/>
    <x v="19"/>
    <x v="2"/>
    <x v="0"/>
    <n v="671"/>
    <n v="872.3"/>
    <n v="234"/>
    <x v="1"/>
    <x v="1"/>
    <x v="94"/>
    <d v="2025-08-18T00:00:00"/>
    <x v="1"/>
    <n v="157014"/>
  </r>
  <r>
    <s v="P301"/>
    <x v="18"/>
    <x v="2"/>
    <x v="1"/>
    <n v="304"/>
    <n v="395.2"/>
    <n v="184"/>
    <x v="2"/>
    <x v="1"/>
    <x v="227"/>
    <d v="2025-11-09T00:00:00"/>
    <x v="1"/>
    <n v="55936"/>
  </r>
  <r>
    <s v="P302"/>
    <x v="22"/>
    <x v="3"/>
    <x v="0"/>
    <n v="23"/>
    <n v="27.6"/>
    <n v="235"/>
    <x v="3"/>
    <x v="0"/>
    <x v="64"/>
    <d v="2026-05-30T00:00:00"/>
    <x v="1"/>
    <n v="5405"/>
  </r>
  <r>
    <s v="P303"/>
    <x v="11"/>
    <x v="2"/>
    <x v="3"/>
    <n v="127"/>
    <n v="177.8"/>
    <n v="57"/>
    <x v="5"/>
    <x v="0"/>
    <x v="228"/>
    <d v="2025-06-23T00:00:00"/>
    <x v="1"/>
    <n v="7239"/>
  </r>
  <r>
    <s v="P304"/>
    <x v="13"/>
    <x v="1"/>
    <x v="4"/>
    <n v="425"/>
    <n v="637.5"/>
    <n v="117"/>
    <x v="1"/>
    <x v="1"/>
    <x v="181"/>
    <d v="2025-06-07T00:00:00"/>
    <x v="1"/>
    <n v="49725"/>
  </r>
  <r>
    <s v="P305"/>
    <x v="8"/>
    <x v="0"/>
    <x v="1"/>
    <n v="53"/>
    <n v="68.900000000000006"/>
    <n v="172"/>
    <x v="2"/>
    <x v="0"/>
    <x v="6"/>
    <d v="2025-12-20T00:00:00"/>
    <x v="1"/>
    <n v="9116"/>
  </r>
  <r>
    <s v="P306"/>
    <x v="20"/>
    <x v="1"/>
    <x v="3"/>
    <n v="96"/>
    <n v="144"/>
    <n v="265"/>
    <x v="5"/>
    <x v="1"/>
    <x v="229"/>
    <d v="2025-04-19T00:00:00"/>
    <x v="1"/>
    <n v="25440"/>
  </r>
  <r>
    <s v="P307"/>
    <x v="3"/>
    <x v="2"/>
    <x v="2"/>
    <n v="136"/>
    <n v="176.8"/>
    <n v="276"/>
    <x v="6"/>
    <x v="0"/>
    <x v="216"/>
    <d v="2026-01-10T00:00:00"/>
    <x v="1"/>
    <n v="37536"/>
  </r>
  <r>
    <s v="P308"/>
    <x v="3"/>
    <x v="2"/>
    <x v="2"/>
    <n v="628"/>
    <n v="753.6"/>
    <n v="36"/>
    <x v="5"/>
    <x v="0"/>
    <x v="230"/>
    <d v="2026-01-05T00:00:00"/>
    <x v="1"/>
    <n v="22608"/>
  </r>
  <r>
    <s v="P309"/>
    <x v="9"/>
    <x v="3"/>
    <x v="4"/>
    <n v="415"/>
    <n v="622.5"/>
    <n v="159"/>
    <x v="2"/>
    <x v="0"/>
    <x v="181"/>
    <d v="2025-07-30T00:00:00"/>
    <x v="1"/>
    <n v="65985"/>
  </r>
  <r>
    <s v="P310"/>
    <x v="8"/>
    <x v="0"/>
    <x v="2"/>
    <n v="538"/>
    <n v="807"/>
    <n v="223"/>
    <x v="2"/>
    <x v="2"/>
    <x v="231"/>
    <d v="2025-05-03T00:00:00"/>
    <x v="1"/>
    <n v="119974"/>
  </r>
  <r>
    <s v="P311"/>
    <x v="7"/>
    <x v="0"/>
    <x v="5"/>
    <n v="119"/>
    <n v="166.6"/>
    <n v="173"/>
    <x v="0"/>
    <x v="1"/>
    <x v="113"/>
    <d v="2025-07-21T00:00:00"/>
    <x v="1"/>
    <n v="20587"/>
  </r>
  <r>
    <s v="P312"/>
    <x v="7"/>
    <x v="0"/>
    <x v="4"/>
    <n v="141"/>
    <n v="197.4"/>
    <n v="232"/>
    <x v="3"/>
    <x v="2"/>
    <x v="198"/>
    <d v="2025-05-22T00:00:00"/>
    <x v="1"/>
    <n v="32712"/>
  </r>
  <r>
    <s v="P313"/>
    <x v="16"/>
    <x v="0"/>
    <x v="4"/>
    <n v="100"/>
    <n v="130"/>
    <n v="236"/>
    <x v="6"/>
    <x v="0"/>
    <x v="232"/>
    <d v="2025-11-05T00:00:00"/>
    <x v="1"/>
    <n v="23600"/>
  </r>
  <r>
    <s v="P314"/>
    <x v="3"/>
    <x v="2"/>
    <x v="1"/>
    <n v="576"/>
    <n v="691.2"/>
    <n v="39"/>
    <x v="4"/>
    <x v="0"/>
    <x v="120"/>
    <d v="2025-09-28T00:00:00"/>
    <x v="1"/>
    <n v="22464"/>
  </r>
  <r>
    <s v="P315"/>
    <x v="0"/>
    <x v="0"/>
    <x v="1"/>
    <n v="357"/>
    <n v="499.8"/>
    <n v="67"/>
    <x v="0"/>
    <x v="2"/>
    <x v="184"/>
    <d v="2025-12-19T00:00:00"/>
    <x v="1"/>
    <n v="23919"/>
  </r>
  <r>
    <s v="P316"/>
    <x v="3"/>
    <x v="2"/>
    <x v="0"/>
    <n v="317"/>
    <n v="443.8"/>
    <n v="102"/>
    <x v="6"/>
    <x v="2"/>
    <x v="21"/>
    <d v="2026-09-11T00:00:00"/>
    <x v="1"/>
    <n v="32334"/>
  </r>
  <r>
    <s v="P317"/>
    <x v="5"/>
    <x v="1"/>
    <x v="4"/>
    <n v="525"/>
    <n v="735"/>
    <n v="76"/>
    <x v="0"/>
    <x v="1"/>
    <x v="89"/>
    <d v="2026-04-01T00:00:00"/>
    <x v="1"/>
    <n v="39900"/>
  </r>
  <r>
    <s v="P318"/>
    <x v="22"/>
    <x v="3"/>
    <x v="4"/>
    <n v="384"/>
    <n v="576"/>
    <n v="40"/>
    <x v="4"/>
    <x v="0"/>
    <x v="160"/>
    <d v="2025-07-01T00:00:00"/>
    <x v="1"/>
    <n v="15360"/>
  </r>
  <r>
    <s v="P319"/>
    <x v="9"/>
    <x v="3"/>
    <x v="2"/>
    <n v="523"/>
    <n v="627.6"/>
    <n v="34"/>
    <x v="0"/>
    <x v="0"/>
    <x v="233"/>
    <d v="2026-05-04T00:00:00"/>
    <x v="1"/>
    <n v="17782"/>
  </r>
  <r>
    <s v="P320"/>
    <x v="19"/>
    <x v="2"/>
    <x v="3"/>
    <n v="280"/>
    <n v="392"/>
    <n v="236"/>
    <x v="0"/>
    <x v="2"/>
    <x v="9"/>
    <d v="2025-07-18T00:00:00"/>
    <x v="1"/>
    <n v="66080"/>
  </r>
  <r>
    <s v="P321"/>
    <x v="4"/>
    <x v="3"/>
    <x v="0"/>
    <n v="377"/>
    <n v="565.5"/>
    <n v="241"/>
    <x v="0"/>
    <x v="2"/>
    <x v="118"/>
    <d v="2025-12-11T00:00:00"/>
    <x v="1"/>
    <n v="90857"/>
  </r>
  <r>
    <s v="P322"/>
    <x v="2"/>
    <x v="0"/>
    <x v="5"/>
    <n v="273"/>
    <n v="409.5"/>
    <n v="281"/>
    <x v="3"/>
    <x v="0"/>
    <x v="45"/>
    <d v="2026-02-09T00:00:00"/>
    <x v="1"/>
    <n v="76713"/>
  </r>
  <r>
    <s v="P323"/>
    <x v="19"/>
    <x v="2"/>
    <x v="0"/>
    <n v="582"/>
    <n v="756.6"/>
    <n v="149"/>
    <x v="3"/>
    <x v="2"/>
    <x v="180"/>
    <d v="2025-09-27T00:00:00"/>
    <x v="1"/>
    <n v="86718"/>
  </r>
  <r>
    <s v="P324"/>
    <x v="12"/>
    <x v="3"/>
    <x v="0"/>
    <n v="310"/>
    <n v="465"/>
    <n v="299"/>
    <x v="5"/>
    <x v="2"/>
    <x v="234"/>
    <d v="2026-03-13T00:00:00"/>
    <x v="1"/>
    <n v="92690"/>
  </r>
  <r>
    <s v="P325"/>
    <x v="16"/>
    <x v="0"/>
    <x v="4"/>
    <n v="106"/>
    <n v="159"/>
    <n v="92"/>
    <x v="1"/>
    <x v="2"/>
    <x v="235"/>
    <d v="2025-05-15T00:00:00"/>
    <x v="1"/>
    <n v="9752"/>
  </r>
  <r>
    <s v="P326"/>
    <x v="2"/>
    <x v="0"/>
    <x v="1"/>
    <n v="505"/>
    <n v="606"/>
    <n v="224"/>
    <x v="6"/>
    <x v="0"/>
    <x v="236"/>
    <d v="2025-04-18T00:00:00"/>
    <x v="1"/>
    <n v="113120"/>
  </r>
  <r>
    <s v="P327"/>
    <x v="0"/>
    <x v="0"/>
    <x v="4"/>
    <n v="434"/>
    <n v="651"/>
    <n v="154"/>
    <x v="3"/>
    <x v="1"/>
    <x v="237"/>
    <d v="2026-06-20T00:00:00"/>
    <x v="1"/>
    <n v="66836"/>
  </r>
  <r>
    <s v="P328"/>
    <x v="13"/>
    <x v="1"/>
    <x v="1"/>
    <n v="305"/>
    <n v="427"/>
    <n v="191"/>
    <x v="5"/>
    <x v="1"/>
    <x v="220"/>
    <d v="2025-05-13T00:00:00"/>
    <x v="1"/>
    <n v="58255"/>
  </r>
  <r>
    <s v="P329"/>
    <x v="6"/>
    <x v="3"/>
    <x v="4"/>
    <n v="529"/>
    <n v="740.6"/>
    <n v="188"/>
    <x v="2"/>
    <x v="0"/>
    <x v="233"/>
    <d v="2026-05-02T00:00:00"/>
    <x v="1"/>
    <n v="99452"/>
  </r>
  <r>
    <s v="P330"/>
    <x v="19"/>
    <x v="2"/>
    <x v="2"/>
    <n v="183"/>
    <n v="274.5"/>
    <n v="178"/>
    <x v="6"/>
    <x v="1"/>
    <x v="238"/>
    <d v="2026-02-08T00:00:00"/>
    <x v="1"/>
    <n v="32574"/>
  </r>
  <r>
    <s v="P331"/>
    <x v="18"/>
    <x v="2"/>
    <x v="4"/>
    <n v="515"/>
    <n v="618"/>
    <n v="36"/>
    <x v="1"/>
    <x v="0"/>
    <x v="239"/>
    <d v="2025-05-12T00:00:00"/>
    <x v="1"/>
    <n v="18540"/>
  </r>
  <r>
    <s v="P332"/>
    <x v="12"/>
    <x v="3"/>
    <x v="1"/>
    <n v="100"/>
    <n v="120"/>
    <n v="171"/>
    <x v="0"/>
    <x v="0"/>
    <x v="240"/>
    <d v="2025-06-12T00:00:00"/>
    <x v="1"/>
    <n v="17100"/>
  </r>
  <r>
    <s v="P333"/>
    <x v="2"/>
    <x v="0"/>
    <x v="5"/>
    <n v="308"/>
    <n v="400.4"/>
    <n v="157"/>
    <x v="5"/>
    <x v="1"/>
    <x v="241"/>
    <d v="2026-05-01T00:00:00"/>
    <x v="1"/>
    <n v="48356"/>
  </r>
  <r>
    <s v="P334"/>
    <x v="18"/>
    <x v="2"/>
    <x v="5"/>
    <n v="535"/>
    <n v="802.5"/>
    <n v="293"/>
    <x v="5"/>
    <x v="2"/>
    <x v="242"/>
    <d v="2026-03-28T00:00:00"/>
    <x v="1"/>
    <n v="156755"/>
  </r>
  <r>
    <s v="P335"/>
    <x v="18"/>
    <x v="2"/>
    <x v="5"/>
    <n v="258"/>
    <n v="309.60000000000002"/>
    <n v="165"/>
    <x v="2"/>
    <x v="1"/>
    <x v="93"/>
    <d v="2025-08-23T00:00:00"/>
    <x v="1"/>
    <n v="42570"/>
  </r>
  <r>
    <s v="P336"/>
    <x v="20"/>
    <x v="1"/>
    <x v="5"/>
    <n v="519"/>
    <n v="622.79999999999995"/>
    <n v="27"/>
    <x v="5"/>
    <x v="1"/>
    <x v="243"/>
    <d v="2025-11-29T00:00:00"/>
    <x v="1"/>
    <n v="14013"/>
  </r>
  <r>
    <s v="P337"/>
    <x v="16"/>
    <x v="0"/>
    <x v="2"/>
    <n v="544"/>
    <n v="707.2"/>
    <n v="225"/>
    <x v="6"/>
    <x v="2"/>
    <x v="28"/>
    <d v="2026-05-18T00:00:00"/>
    <x v="1"/>
    <n v="122400"/>
  </r>
  <r>
    <s v="P338"/>
    <x v="20"/>
    <x v="1"/>
    <x v="0"/>
    <n v="170"/>
    <n v="255"/>
    <n v="300"/>
    <x v="5"/>
    <x v="1"/>
    <x v="208"/>
    <d v="2026-04-26T00:00:00"/>
    <x v="1"/>
    <n v="51000"/>
  </r>
  <r>
    <s v="P339"/>
    <x v="10"/>
    <x v="1"/>
    <x v="0"/>
    <n v="445"/>
    <n v="623"/>
    <n v="151"/>
    <x v="0"/>
    <x v="0"/>
    <x v="244"/>
    <d v="2026-04-27T00:00:00"/>
    <x v="1"/>
    <n v="67195"/>
  </r>
  <r>
    <s v="P340"/>
    <x v="9"/>
    <x v="3"/>
    <x v="0"/>
    <n v="638"/>
    <n v="893.2"/>
    <n v="284"/>
    <x v="0"/>
    <x v="1"/>
    <x v="245"/>
    <d v="2025-11-04T00:00:00"/>
    <x v="1"/>
    <n v="181192"/>
  </r>
  <r>
    <s v="P341"/>
    <x v="14"/>
    <x v="1"/>
    <x v="5"/>
    <n v="401"/>
    <n v="521.29999999999995"/>
    <n v="87"/>
    <x v="1"/>
    <x v="2"/>
    <x v="246"/>
    <d v="2025-03-22T00:00:00"/>
    <x v="1"/>
    <n v="34887"/>
  </r>
  <r>
    <s v="P342"/>
    <x v="17"/>
    <x v="2"/>
    <x v="2"/>
    <n v="443"/>
    <n v="664.5"/>
    <n v="162"/>
    <x v="3"/>
    <x v="1"/>
    <x v="103"/>
    <d v="2025-03-29T00:00:00"/>
    <x v="1"/>
    <n v="71766"/>
  </r>
  <r>
    <s v="P343"/>
    <x v="10"/>
    <x v="1"/>
    <x v="5"/>
    <n v="165"/>
    <n v="231"/>
    <n v="29"/>
    <x v="6"/>
    <x v="1"/>
    <x v="106"/>
    <d v="2025-04-27T00:00:00"/>
    <x v="1"/>
    <n v="4785"/>
  </r>
  <r>
    <s v="P344"/>
    <x v="2"/>
    <x v="0"/>
    <x v="5"/>
    <n v="400"/>
    <n v="560"/>
    <n v="280"/>
    <x v="5"/>
    <x v="2"/>
    <x v="76"/>
    <d v="2025-05-02T00:00:00"/>
    <x v="1"/>
    <n v="112000"/>
  </r>
  <r>
    <s v="P345"/>
    <x v="14"/>
    <x v="1"/>
    <x v="1"/>
    <n v="109"/>
    <n v="130.80000000000001"/>
    <n v="280"/>
    <x v="2"/>
    <x v="1"/>
    <x v="247"/>
    <d v="2026-06-19T00:00:00"/>
    <x v="1"/>
    <n v="30520"/>
  </r>
  <r>
    <s v="P346"/>
    <x v="14"/>
    <x v="1"/>
    <x v="0"/>
    <n v="202"/>
    <n v="282.8"/>
    <n v="239"/>
    <x v="3"/>
    <x v="2"/>
    <x v="248"/>
    <d v="2025-03-26T00:00:00"/>
    <x v="1"/>
    <n v="48278"/>
  </r>
  <r>
    <s v="P347"/>
    <x v="14"/>
    <x v="1"/>
    <x v="0"/>
    <n v="179"/>
    <n v="250.6"/>
    <n v="247"/>
    <x v="3"/>
    <x v="2"/>
    <x v="249"/>
    <d v="2025-06-05T00:00:00"/>
    <x v="1"/>
    <n v="44213"/>
  </r>
  <r>
    <s v="P348"/>
    <x v="19"/>
    <x v="2"/>
    <x v="3"/>
    <n v="389"/>
    <n v="583.5"/>
    <n v="85"/>
    <x v="1"/>
    <x v="0"/>
    <x v="250"/>
    <d v="2026-02-03T00:00:00"/>
    <x v="1"/>
    <n v="33065"/>
  </r>
  <r>
    <s v="P349"/>
    <x v="5"/>
    <x v="1"/>
    <x v="5"/>
    <n v="350"/>
    <n v="455"/>
    <n v="213"/>
    <x v="4"/>
    <x v="1"/>
    <x v="251"/>
    <d v="2026-06-13T00:00:00"/>
    <x v="1"/>
    <n v="74550"/>
  </r>
  <r>
    <s v="P350"/>
    <x v="17"/>
    <x v="2"/>
    <x v="2"/>
    <n v="181"/>
    <n v="271.5"/>
    <n v="25"/>
    <x v="4"/>
    <x v="1"/>
    <x v="252"/>
    <d v="2025-02-05T00:00:00"/>
    <x v="0"/>
    <n v="4525"/>
  </r>
  <r>
    <s v="P351"/>
    <x v="8"/>
    <x v="0"/>
    <x v="3"/>
    <n v="434"/>
    <n v="651"/>
    <n v="119"/>
    <x v="3"/>
    <x v="1"/>
    <x v="149"/>
    <d v="2025-08-02T00:00:00"/>
    <x v="1"/>
    <n v="51646"/>
  </r>
  <r>
    <s v="P352"/>
    <x v="13"/>
    <x v="1"/>
    <x v="1"/>
    <n v="329"/>
    <n v="427.7"/>
    <n v="192"/>
    <x v="0"/>
    <x v="0"/>
    <x v="253"/>
    <d v="2026-02-01T00:00:00"/>
    <x v="1"/>
    <n v="63168"/>
  </r>
  <r>
    <s v="P353"/>
    <x v="20"/>
    <x v="1"/>
    <x v="4"/>
    <n v="121"/>
    <n v="157.30000000000001"/>
    <n v="187"/>
    <x v="2"/>
    <x v="0"/>
    <x v="54"/>
    <d v="2025-07-04T00:00:00"/>
    <x v="1"/>
    <n v="22627"/>
  </r>
  <r>
    <s v="P354"/>
    <x v="17"/>
    <x v="2"/>
    <x v="2"/>
    <n v="524"/>
    <n v="681.2"/>
    <n v="286"/>
    <x v="0"/>
    <x v="2"/>
    <x v="179"/>
    <d v="2025-08-09T00:00:00"/>
    <x v="1"/>
    <n v="149864"/>
  </r>
  <r>
    <s v="P355"/>
    <x v="9"/>
    <x v="3"/>
    <x v="3"/>
    <n v="433"/>
    <n v="519.6"/>
    <n v="176"/>
    <x v="1"/>
    <x v="2"/>
    <x v="254"/>
    <d v="2025-06-08T00:00:00"/>
    <x v="1"/>
    <n v="76208"/>
  </r>
  <r>
    <s v="P356"/>
    <x v="22"/>
    <x v="3"/>
    <x v="5"/>
    <n v="191"/>
    <n v="286.5"/>
    <n v="126"/>
    <x v="4"/>
    <x v="1"/>
    <x v="255"/>
    <d v="2025-07-28T00:00:00"/>
    <x v="1"/>
    <n v="24066"/>
  </r>
  <r>
    <s v="P357"/>
    <x v="20"/>
    <x v="1"/>
    <x v="4"/>
    <n v="677"/>
    <n v="947.8"/>
    <n v="179"/>
    <x v="0"/>
    <x v="2"/>
    <x v="256"/>
    <d v="2025-03-06T00:00:00"/>
    <x v="1"/>
    <n v="121183"/>
  </r>
  <r>
    <s v="P358"/>
    <x v="3"/>
    <x v="2"/>
    <x v="5"/>
    <n v="10"/>
    <n v="13"/>
    <n v="127"/>
    <x v="3"/>
    <x v="1"/>
    <x v="249"/>
    <d v="2025-07-05T00:00:00"/>
    <x v="1"/>
    <n v="1270"/>
  </r>
  <r>
    <s v="P359"/>
    <x v="10"/>
    <x v="1"/>
    <x v="4"/>
    <n v="293"/>
    <n v="410.2"/>
    <n v="185"/>
    <x v="6"/>
    <x v="2"/>
    <x v="20"/>
    <d v="2026-07-27T00:00:00"/>
    <x v="1"/>
    <n v="54205"/>
  </r>
  <r>
    <s v="P360"/>
    <x v="20"/>
    <x v="1"/>
    <x v="3"/>
    <n v="356"/>
    <n v="427.2"/>
    <n v="82"/>
    <x v="3"/>
    <x v="1"/>
    <x v="257"/>
    <d v="2025-07-12T00:00:00"/>
    <x v="1"/>
    <n v="29192"/>
  </r>
  <r>
    <s v="P361"/>
    <x v="15"/>
    <x v="3"/>
    <x v="4"/>
    <n v="274"/>
    <n v="328.8"/>
    <n v="100"/>
    <x v="1"/>
    <x v="2"/>
    <x v="59"/>
    <d v="2026-02-12T00:00:00"/>
    <x v="1"/>
    <n v="27400"/>
  </r>
  <r>
    <s v="P362"/>
    <x v="16"/>
    <x v="0"/>
    <x v="4"/>
    <n v="90"/>
    <n v="117"/>
    <n v="49"/>
    <x v="3"/>
    <x v="0"/>
    <x v="258"/>
    <d v="2026-03-12T00:00:00"/>
    <x v="0"/>
    <n v="4410"/>
  </r>
  <r>
    <s v="P363"/>
    <x v="18"/>
    <x v="2"/>
    <x v="1"/>
    <n v="647"/>
    <n v="970.5"/>
    <n v="24"/>
    <x v="5"/>
    <x v="0"/>
    <x v="259"/>
    <d v="2025-07-11T00:00:00"/>
    <x v="1"/>
    <n v="15528"/>
  </r>
  <r>
    <s v="P364"/>
    <x v="13"/>
    <x v="1"/>
    <x v="1"/>
    <n v="39"/>
    <n v="54.6"/>
    <n v="28"/>
    <x v="3"/>
    <x v="2"/>
    <x v="260"/>
    <d v="2026-07-20T00:00:00"/>
    <x v="0"/>
    <n v="1092"/>
  </r>
  <r>
    <s v="P365"/>
    <x v="10"/>
    <x v="1"/>
    <x v="1"/>
    <n v="197"/>
    <n v="236.4"/>
    <n v="154"/>
    <x v="1"/>
    <x v="2"/>
    <x v="219"/>
    <d v="2025-08-02T00:00:00"/>
    <x v="1"/>
    <n v="30338"/>
  </r>
  <r>
    <s v="P366"/>
    <x v="11"/>
    <x v="2"/>
    <x v="3"/>
    <n v="144"/>
    <n v="172.8"/>
    <n v="150"/>
    <x v="3"/>
    <x v="0"/>
    <x v="16"/>
    <d v="2025-07-05T00:00:00"/>
    <x v="1"/>
    <n v="21600"/>
  </r>
  <r>
    <s v="P367"/>
    <x v="1"/>
    <x v="1"/>
    <x v="2"/>
    <n v="238"/>
    <n v="285.60000000000002"/>
    <n v="148"/>
    <x v="0"/>
    <x v="1"/>
    <x v="50"/>
    <d v="2025-11-16T00:00:00"/>
    <x v="1"/>
    <n v="35224"/>
  </r>
  <r>
    <s v="P368"/>
    <x v="8"/>
    <x v="0"/>
    <x v="0"/>
    <n v="272"/>
    <n v="353.6"/>
    <n v="282"/>
    <x v="1"/>
    <x v="1"/>
    <x v="48"/>
    <d v="2025-09-04T00:00:00"/>
    <x v="1"/>
    <n v="76704"/>
  </r>
  <r>
    <s v="P369"/>
    <x v="20"/>
    <x v="1"/>
    <x v="1"/>
    <n v="81"/>
    <n v="121.5"/>
    <n v="284"/>
    <x v="0"/>
    <x v="2"/>
    <x v="261"/>
    <d v="2025-12-12T00:00:00"/>
    <x v="1"/>
    <n v="23004"/>
  </r>
  <r>
    <s v="P370"/>
    <x v="11"/>
    <x v="2"/>
    <x v="5"/>
    <n v="187"/>
    <n v="243.1"/>
    <n v="24"/>
    <x v="1"/>
    <x v="1"/>
    <x v="13"/>
    <d v="2025-10-31T00:00:00"/>
    <x v="1"/>
    <n v="4488"/>
  </r>
  <r>
    <s v="P371"/>
    <x v="18"/>
    <x v="2"/>
    <x v="4"/>
    <n v="574"/>
    <n v="861"/>
    <n v="48"/>
    <x v="1"/>
    <x v="0"/>
    <x v="262"/>
    <d v="2025-04-12T00:00:00"/>
    <x v="1"/>
    <n v="27552"/>
  </r>
  <r>
    <s v="P372"/>
    <x v="6"/>
    <x v="3"/>
    <x v="4"/>
    <n v="148"/>
    <n v="192.4"/>
    <n v="93"/>
    <x v="6"/>
    <x v="2"/>
    <x v="263"/>
    <d v="2025-04-07T00:00:00"/>
    <x v="1"/>
    <n v="13764"/>
  </r>
  <r>
    <s v="P373"/>
    <x v="9"/>
    <x v="3"/>
    <x v="0"/>
    <n v="10"/>
    <n v="15"/>
    <n v="297"/>
    <x v="4"/>
    <x v="2"/>
    <x v="195"/>
    <d v="2026-01-12T00:00:00"/>
    <x v="1"/>
    <n v="2970"/>
  </r>
  <r>
    <s v="P374"/>
    <x v="6"/>
    <x v="3"/>
    <x v="4"/>
    <n v="440"/>
    <n v="660"/>
    <n v="58"/>
    <x v="3"/>
    <x v="2"/>
    <x v="264"/>
    <d v="2025-07-01T00:00:00"/>
    <x v="1"/>
    <n v="25520"/>
  </r>
  <r>
    <s v="P375"/>
    <x v="0"/>
    <x v="0"/>
    <x v="1"/>
    <n v="104"/>
    <n v="145.6"/>
    <n v="24"/>
    <x v="1"/>
    <x v="1"/>
    <x v="178"/>
    <d v="2025-12-19T00:00:00"/>
    <x v="1"/>
    <n v="2496"/>
  </r>
  <r>
    <s v="P376"/>
    <x v="8"/>
    <x v="0"/>
    <x v="3"/>
    <n v="560"/>
    <n v="840"/>
    <n v="211"/>
    <x v="2"/>
    <x v="0"/>
    <x v="265"/>
    <d v="2026-07-25T00:00:00"/>
    <x v="1"/>
    <n v="118160"/>
  </r>
  <r>
    <s v="P377"/>
    <x v="4"/>
    <x v="3"/>
    <x v="5"/>
    <n v="497"/>
    <n v="646.1"/>
    <n v="150"/>
    <x v="4"/>
    <x v="0"/>
    <x v="149"/>
    <d v="2025-06-12T00:00:00"/>
    <x v="1"/>
    <n v="74550"/>
  </r>
  <r>
    <s v="P378"/>
    <x v="2"/>
    <x v="0"/>
    <x v="0"/>
    <n v="215"/>
    <n v="322.5"/>
    <n v="113"/>
    <x v="4"/>
    <x v="1"/>
    <x v="266"/>
    <d v="2026-06-21T00:00:00"/>
    <x v="1"/>
    <n v="24295"/>
  </r>
  <r>
    <s v="P379"/>
    <x v="3"/>
    <x v="2"/>
    <x v="1"/>
    <n v="358"/>
    <n v="501.2"/>
    <n v="214"/>
    <x v="3"/>
    <x v="0"/>
    <x v="267"/>
    <d v="2025-08-22T00:00:00"/>
    <x v="1"/>
    <n v="76612"/>
  </r>
  <r>
    <s v="P380"/>
    <x v="17"/>
    <x v="2"/>
    <x v="3"/>
    <n v="56"/>
    <n v="72.8"/>
    <n v="256"/>
    <x v="4"/>
    <x v="1"/>
    <x v="268"/>
    <d v="2025-10-14T00:00:00"/>
    <x v="1"/>
    <n v="14336"/>
  </r>
  <r>
    <s v="P381"/>
    <x v="11"/>
    <x v="2"/>
    <x v="5"/>
    <n v="353"/>
    <n v="423.6"/>
    <n v="252"/>
    <x v="0"/>
    <x v="1"/>
    <x v="269"/>
    <d v="2025-11-21T00:00:00"/>
    <x v="1"/>
    <n v="88956"/>
  </r>
  <r>
    <s v="P382"/>
    <x v="18"/>
    <x v="2"/>
    <x v="5"/>
    <n v="23"/>
    <n v="34.5"/>
    <n v="112"/>
    <x v="6"/>
    <x v="2"/>
    <x v="270"/>
    <d v="2025-04-12T00:00:00"/>
    <x v="1"/>
    <n v="2576"/>
  </r>
  <r>
    <s v="P383"/>
    <x v="4"/>
    <x v="3"/>
    <x v="3"/>
    <n v="88"/>
    <n v="132"/>
    <n v="60"/>
    <x v="4"/>
    <x v="1"/>
    <x v="200"/>
    <d v="2025-03-12T00:00:00"/>
    <x v="1"/>
    <n v="5280"/>
  </r>
  <r>
    <s v="P384"/>
    <x v="15"/>
    <x v="3"/>
    <x v="4"/>
    <n v="163"/>
    <n v="244.5"/>
    <n v="6"/>
    <x v="2"/>
    <x v="1"/>
    <x v="73"/>
    <d v="2026-05-13T00:00:00"/>
    <x v="0"/>
    <n v="978"/>
  </r>
  <r>
    <s v="P385"/>
    <x v="1"/>
    <x v="1"/>
    <x v="1"/>
    <n v="79"/>
    <n v="94.8"/>
    <n v="165"/>
    <x v="0"/>
    <x v="1"/>
    <x v="126"/>
    <d v="2025-04-27T00:00:00"/>
    <x v="1"/>
    <n v="13035"/>
  </r>
  <r>
    <s v="P386"/>
    <x v="13"/>
    <x v="1"/>
    <x v="0"/>
    <n v="695"/>
    <n v="903.5"/>
    <n v="67"/>
    <x v="3"/>
    <x v="1"/>
    <x v="125"/>
    <d v="2026-07-08T00:00:00"/>
    <x v="1"/>
    <n v="46565"/>
  </r>
  <r>
    <s v="P387"/>
    <x v="22"/>
    <x v="3"/>
    <x v="4"/>
    <n v="405"/>
    <n v="526.5"/>
    <n v="192"/>
    <x v="6"/>
    <x v="0"/>
    <x v="202"/>
    <d v="2025-03-04T00:00:00"/>
    <x v="1"/>
    <n v="77760"/>
  </r>
  <r>
    <s v="P388"/>
    <x v="8"/>
    <x v="0"/>
    <x v="5"/>
    <n v="119"/>
    <n v="142.80000000000001"/>
    <n v="153"/>
    <x v="0"/>
    <x v="1"/>
    <x v="271"/>
    <d v="2026-03-09T00:00:00"/>
    <x v="1"/>
    <n v="18207"/>
  </r>
  <r>
    <s v="P389"/>
    <x v="13"/>
    <x v="1"/>
    <x v="5"/>
    <n v="637"/>
    <n v="764.4"/>
    <n v="228"/>
    <x v="1"/>
    <x v="2"/>
    <x v="123"/>
    <d v="2026-04-01T00:00:00"/>
    <x v="1"/>
    <n v="145236"/>
  </r>
  <r>
    <s v="P390"/>
    <x v="19"/>
    <x v="2"/>
    <x v="4"/>
    <n v="183"/>
    <n v="256.2"/>
    <n v="162"/>
    <x v="3"/>
    <x v="1"/>
    <x v="211"/>
    <d v="2026-02-17T00:00:00"/>
    <x v="1"/>
    <n v="29646"/>
  </r>
  <r>
    <s v="P391"/>
    <x v="19"/>
    <x v="2"/>
    <x v="4"/>
    <n v="21"/>
    <n v="31.5"/>
    <n v="258"/>
    <x v="5"/>
    <x v="0"/>
    <x v="128"/>
    <d v="2026-05-16T00:00:00"/>
    <x v="1"/>
    <n v="5418"/>
  </r>
  <r>
    <s v="P392"/>
    <x v="7"/>
    <x v="0"/>
    <x v="3"/>
    <n v="210"/>
    <n v="294"/>
    <n v="43"/>
    <x v="1"/>
    <x v="0"/>
    <x v="106"/>
    <d v="2025-03-17T00:00:00"/>
    <x v="1"/>
    <n v="9030"/>
  </r>
  <r>
    <s v="P393"/>
    <x v="6"/>
    <x v="3"/>
    <x v="4"/>
    <n v="316"/>
    <n v="410.8"/>
    <n v="52"/>
    <x v="1"/>
    <x v="0"/>
    <x v="109"/>
    <d v="2026-03-03T00:00:00"/>
    <x v="1"/>
    <n v="16432"/>
  </r>
  <r>
    <s v="P394"/>
    <x v="5"/>
    <x v="1"/>
    <x v="0"/>
    <n v="204"/>
    <n v="285.60000000000002"/>
    <n v="9"/>
    <x v="4"/>
    <x v="0"/>
    <x v="272"/>
    <d v="2026-07-19T00:00:00"/>
    <x v="0"/>
    <n v="1836"/>
  </r>
  <r>
    <s v="P395"/>
    <x v="8"/>
    <x v="0"/>
    <x v="0"/>
    <n v="460"/>
    <n v="690"/>
    <n v="0"/>
    <x v="2"/>
    <x v="2"/>
    <x v="24"/>
    <d v="2026-05-02T00:00:00"/>
    <x v="2"/>
    <n v="0"/>
  </r>
  <r>
    <s v="P396"/>
    <x v="11"/>
    <x v="2"/>
    <x v="2"/>
    <n v="560"/>
    <n v="840"/>
    <n v="281"/>
    <x v="3"/>
    <x v="0"/>
    <x v="273"/>
    <d v="2025-02-09T00:00:00"/>
    <x v="1"/>
    <n v="157360"/>
  </r>
  <r>
    <s v="P397"/>
    <x v="12"/>
    <x v="3"/>
    <x v="1"/>
    <n v="380"/>
    <n v="456"/>
    <n v="244"/>
    <x v="6"/>
    <x v="0"/>
    <x v="253"/>
    <d v="2026-02-05T00:00:00"/>
    <x v="1"/>
    <n v="92720"/>
  </r>
  <r>
    <s v="P398"/>
    <x v="3"/>
    <x v="2"/>
    <x v="4"/>
    <n v="243"/>
    <n v="315.89999999999998"/>
    <n v="207"/>
    <x v="1"/>
    <x v="2"/>
    <x v="274"/>
    <d v="2025-09-10T00:00:00"/>
    <x v="1"/>
    <n v="50301"/>
  </r>
  <r>
    <s v="P399"/>
    <x v="14"/>
    <x v="1"/>
    <x v="0"/>
    <n v="42"/>
    <n v="63"/>
    <n v="270"/>
    <x v="6"/>
    <x v="2"/>
    <x v="129"/>
    <d v="2025-02-17T00:00:00"/>
    <x v="1"/>
    <n v="11340"/>
  </r>
  <r>
    <s v="P400"/>
    <x v="19"/>
    <x v="2"/>
    <x v="1"/>
    <n v="482"/>
    <n v="626.6"/>
    <n v="231"/>
    <x v="3"/>
    <x v="2"/>
    <x v="275"/>
    <d v="2026-05-28T00:00:00"/>
    <x v="1"/>
    <n v="111342"/>
  </r>
  <r>
    <s v="P401"/>
    <x v="7"/>
    <x v="0"/>
    <x v="1"/>
    <n v="221"/>
    <n v="265.2"/>
    <n v="252"/>
    <x v="5"/>
    <x v="0"/>
    <x v="242"/>
    <d v="2026-03-18T00:00:00"/>
    <x v="1"/>
    <n v="55692"/>
  </r>
  <r>
    <s v="P402"/>
    <x v="2"/>
    <x v="0"/>
    <x v="3"/>
    <n v="260"/>
    <n v="312"/>
    <n v="126"/>
    <x v="0"/>
    <x v="1"/>
    <x v="276"/>
    <d v="2025-06-10T00:00:00"/>
    <x v="1"/>
    <n v="32760"/>
  </r>
  <r>
    <s v="P403"/>
    <x v="19"/>
    <x v="2"/>
    <x v="3"/>
    <n v="97"/>
    <n v="135.80000000000001"/>
    <n v="54"/>
    <x v="4"/>
    <x v="0"/>
    <x v="178"/>
    <d v="2025-12-02T00:00:00"/>
    <x v="1"/>
    <n v="5238"/>
  </r>
  <r>
    <s v="P404"/>
    <x v="13"/>
    <x v="1"/>
    <x v="3"/>
    <n v="267"/>
    <n v="400.5"/>
    <n v="274"/>
    <x v="3"/>
    <x v="0"/>
    <x v="221"/>
    <d v="2025-12-03T00:00:00"/>
    <x v="1"/>
    <n v="73158"/>
  </r>
  <r>
    <s v="P405"/>
    <x v="12"/>
    <x v="3"/>
    <x v="5"/>
    <n v="477"/>
    <n v="572.4"/>
    <n v="188"/>
    <x v="0"/>
    <x v="0"/>
    <x v="189"/>
    <d v="2026-04-27T00:00:00"/>
    <x v="1"/>
    <n v="89676"/>
  </r>
  <r>
    <s v="P406"/>
    <x v="2"/>
    <x v="0"/>
    <x v="0"/>
    <n v="353"/>
    <n v="494.2"/>
    <n v="299"/>
    <x v="1"/>
    <x v="0"/>
    <x v="277"/>
    <d v="2025-02-03T00:00:00"/>
    <x v="1"/>
    <n v="105547"/>
  </r>
  <r>
    <s v="P407"/>
    <x v="2"/>
    <x v="0"/>
    <x v="3"/>
    <n v="557"/>
    <n v="668.4"/>
    <n v="7"/>
    <x v="2"/>
    <x v="2"/>
    <x v="278"/>
    <d v="2025-06-08T00:00:00"/>
    <x v="0"/>
    <n v="3899"/>
  </r>
  <r>
    <s v="P408"/>
    <x v="20"/>
    <x v="1"/>
    <x v="3"/>
    <n v="385"/>
    <n v="500.5"/>
    <n v="188"/>
    <x v="0"/>
    <x v="1"/>
    <x v="201"/>
    <d v="2026-05-03T00:00:00"/>
    <x v="1"/>
    <n v="72380"/>
  </r>
  <r>
    <s v="P409"/>
    <x v="21"/>
    <x v="3"/>
    <x v="4"/>
    <n v="661"/>
    <n v="991.5"/>
    <n v="135"/>
    <x v="0"/>
    <x v="2"/>
    <x v="279"/>
    <d v="2025-12-30T00:00:00"/>
    <x v="1"/>
    <n v="89235"/>
  </r>
  <r>
    <s v="P410"/>
    <x v="2"/>
    <x v="0"/>
    <x v="3"/>
    <n v="651"/>
    <n v="846.3"/>
    <n v="219"/>
    <x v="0"/>
    <x v="2"/>
    <x v="127"/>
    <d v="2025-05-24T00:00:00"/>
    <x v="1"/>
    <n v="142569"/>
  </r>
  <r>
    <s v="P411"/>
    <x v="6"/>
    <x v="3"/>
    <x v="3"/>
    <n v="69"/>
    <n v="82.8"/>
    <n v="8"/>
    <x v="1"/>
    <x v="0"/>
    <x v="217"/>
    <d v="2025-01-15T00:00:00"/>
    <x v="0"/>
    <n v="552"/>
  </r>
  <r>
    <s v="P412"/>
    <x v="3"/>
    <x v="2"/>
    <x v="1"/>
    <n v="620"/>
    <n v="868"/>
    <n v="110"/>
    <x v="2"/>
    <x v="2"/>
    <x v="126"/>
    <d v="2025-05-16T00:00:00"/>
    <x v="1"/>
    <n v="68200"/>
  </r>
  <r>
    <s v="P413"/>
    <x v="14"/>
    <x v="1"/>
    <x v="5"/>
    <n v="612"/>
    <n v="856.8"/>
    <n v="298"/>
    <x v="3"/>
    <x v="1"/>
    <x v="280"/>
    <d v="2025-03-09T00:00:00"/>
    <x v="1"/>
    <n v="182376"/>
  </r>
  <r>
    <s v="P414"/>
    <x v="19"/>
    <x v="2"/>
    <x v="4"/>
    <n v="285"/>
    <n v="427.5"/>
    <n v="276"/>
    <x v="6"/>
    <x v="1"/>
    <x v="281"/>
    <d v="2025-03-13T00:00:00"/>
    <x v="1"/>
    <n v="78660"/>
  </r>
  <r>
    <s v="P415"/>
    <x v="11"/>
    <x v="2"/>
    <x v="0"/>
    <n v="342"/>
    <n v="478.8"/>
    <n v="234"/>
    <x v="4"/>
    <x v="1"/>
    <x v="282"/>
    <d v="2026-01-03T00:00:00"/>
    <x v="1"/>
    <n v="80028"/>
  </r>
  <r>
    <s v="P416"/>
    <x v="12"/>
    <x v="3"/>
    <x v="0"/>
    <n v="127"/>
    <n v="177.8"/>
    <n v="52"/>
    <x v="0"/>
    <x v="0"/>
    <x v="208"/>
    <d v="2026-04-16T00:00:00"/>
    <x v="1"/>
    <n v="6604"/>
  </r>
  <r>
    <s v="P417"/>
    <x v="6"/>
    <x v="3"/>
    <x v="0"/>
    <n v="47"/>
    <n v="61.1"/>
    <n v="121"/>
    <x v="3"/>
    <x v="1"/>
    <x v="124"/>
    <d v="2026-01-17T00:00:00"/>
    <x v="1"/>
    <n v="5687"/>
  </r>
  <r>
    <s v="P418"/>
    <x v="14"/>
    <x v="1"/>
    <x v="2"/>
    <n v="316"/>
    <n v="442.4"/>
    <n v="145"/>
    <x v="4"/>
    <x v="1"/>
    <x v="283"/>
    <d v="2026-01-25T00:00:00"/>
    <x v="1"/>
    <n v="45820"/>
  </r>
  <r>
    <s v="P419"/>
    <x v="14"/>
    <x v="1"/>
    <x v="0"/>
    <n v="548"/>
    <n v="657.6"/>
    <n v="112"/>
    <x v="5"/>
    <x v="2"/>
    <x v="284"/>
    <d v="2026-01-20T00:00:00"/>
    <x v="1"/>
    <n v="61376"/>
  </r>
  <r>
    <s v="P420"/>
    <x v="16"/>
    <x v="0"/>
    <x v="5"/>
    <n v="514"/>
    <n v="771"/>
    <n v="264"/>
    <x v="6"/>
    <x v="1"/>
    <x v="71"/>
    <d v="2026-01-14T00:00:00"/>
    <x v="1"/>
    <n v="135696"/>
  </r>
  <r>
    <s v="P421"/>
    <x v="9"/>
    <x v="3"/>
    <x v="4"/>
    <n v="6"/>
    <n v="7.8"/>
    <n v="70"/>
    <x v="3"/>
    <x v="0"/>
    <x v="285"/>
    <d v="2026-05-18T00:00:00"/>
    <x v="1"/>
    <n v="420"/>
  </r>
  <r>
    <s v="P422"/>
    <x v="1"/>
    <x v="1"/>
    <x v="2"/>
    <n v="394"/>
    <n v="551.6"/>
    <n v="179"/>
    <x v="2"/>
    <x v="2"/>
    <x v="286"/>
    <d v="2025-03-11T00:00:00"/>
    <x v="1"/>
    <n v="70526"/>
  </r>
  <r>
    <s v="P423"/>
    <x v="9"/>
    <x v="3"/>
    <x v="2"/>
    <n v="52"/>
    <n v="67.599999999999994"/>
    <n v="240"/>
    <x v="6"/>
    <x v="2"/>
    <x v="287"/>
    <d v="2025-12-19T00:00:00"/>
    <x v="1"/>
    <n v="12480"/>
  </r>
  <r>
    <s v="P424"/>
    <x v="11"/>
    <x v="2"/>
    <x v="4"/>
    <n v="306"/>
    <n v="428.4"/>
    <n v="266"/>
    <x v="1"/>
    <x v="1"/>
    <x v="86"/>
    <d v="2026-01-03T00:00:00"/>
    <x v="1"/>
    <n v="81396"/>
  </r>
  <r>
    <s v="P425"/>
    <x v="4"/>
    <x v="3"/>
    <x v="0"/>
    <n v="20"/>
    <n v="28"/>
    <n v="39"/>
    <x v="0"/>
    <x v="2"/>
    <x v="288"/>
    <d v="2026-01-03T00:00:00"/>
    <x v="1"/>
    <n v="780"/>
  </r>
  <r>
    <s v="P426"/>
    <x v="8"/>
    <x v="0"/>
    <x v="1"/>
    <n v="575"/>
    <n v="690"/>
    <n v="238"/>
    <x v="2"/>
    <x v="1"/>
    <x v="39"/>
    <d v="2026-01-27T00:00:00"/>
    <x v="1"/>
    <n v="136850"/>
  </r>
  <r>
    <s v="P427"/>
    <x v="9"/>
    <x v="3"/>
    <x v="5"/>
    <n v="23"/>
    <n v="34.5"/>
    <n v="34"/>
    <x v="4"/>
    <x v="2"/>
    <x v="289"/>
    <d v="2026-06-24T00:00:00"/>
    <x v="1"/>
    <n v="782"/>
  </r>
  <r>
    <s v="P428"/>
    <x v="16"/>
    <x v="0"/>
    <x v="2"/>
    <n v="655"/>
    <n v="982.5"/>
    <n v="62"/>
    <x v="2"/>
    <x v="0"/>
    <x v="219"/>
    <d v="2025-10-16T00:00:00"/>
    <x v="1"/>
    <n v="40610"/>
  </r>
  <r>
    <s v="P429"/>
    <x v="7"/>
    <x v="0"/>
    <x v="1"/>
    <n v="16"/>
    <n v="19.2"/>
    <n v="81"/>
    <x v="3"/>
    <x v="1"/>
    <x v="290"/>
    <d v="2026-05-22T00:00:00"/>
    <x v="1"/>
    <n v="1296"/>
  </r>
  <r>
    <s v="P430"/>
    <x v="1"/>
    <x v="1"/>
    <x v="1"/>
    <n v="189"/>
    <n v="226.8"/>
    <n v="125"/>
    <x v="5"/>
    <x v="1"/>
    <x v="74"/>
    <d v="2026-01-21T00:00:00"/>
    <x v="1"/>
    <n v="23625"/>
  </r>
  <r>
    <s v="P431"/>
    <x v="19"/>
    <x v="2"/>
    <x v="4"/>
    <n v="667"/>
    <n v="800.4"/>
    <n v="7"/>
    <x v="6"/>
    <x v="2"/>
    <x v="172"/>
    <d v="2026-05-16T00:00:00"/>
    <x v="0"/>
    <n v="4669"/>
  </r>
  <r>
    <s v="P432"/>
    <x v="1"/>
    <x v="1"/>
    <x v="2"/>
    <n v="273"/>
    <n v="354.9"/>
    <n v="162"/>
    <x v="0"/>
    <x v="0"/>
    <x v="291"/>
    <d v="2026-05-23T00:00:00"/>
    <x v="1"/>
    <n v="44226"/>
  </r>
  <r>
    <s v="P433"/>
    <x v="6"/>
    <x v="3"/>
    <x v="5"/>
    <n v="316"/>
    <n v="474"/>
    <n v="156"/>
    <x v="2"/>
    <x v="2"/>
    <x v="240"/>
    <d v="2025-07-14T00:00:00"/>
    <x v="1"/>
    <n v="49296"/>
  </r>
  <r>
    <s v="P434"/>
    <x v="10"/>
    <x v="1"/>
    <x v="4"/>
    <n v="139"/>
    <n v="180.7"/>
    <n v="169"/>
    <x v="1"/>
    <x v="1"/>
    <x v="69"/>
    <d v="2025-05-02T00:00:00"/>
    <x v="1"/>
    <n v="23491"/>
  </r>
  <r>
    <s v="P435"/>
    <x v="22"/>
    <x v="3"/>
    <x v="4"/>
    <n v="479"/>
    <n v="718.5"/>
    <n v="270"/>
    <x v="0"/>
    <x v="1"/>
    <x v="23"/>
    <d v="2025-02-02T00:00:00"/>
    <x v="1"/>
    <n v="129330"/>
  </r>
  <r>
    <s v="P436"/>
    <x v="13"/>
    <x v="1"/>
    <x v="0"/>
    <n v="181"/>
    <n v="235.3"/>
    <n v="7"/>
    <x v="3"/>
    <x v="0"/>
    <x v="292"/>
    <d v="2026-02-07T00:00:00"/>
    <x v="0"/>
    <n v="1267"/>
  </r>
  <r>
    <s v="P437"/>
    <x v="18"/>
    <x v="2"/>
    <x v="1"/>
    <n v="555"/>
    <n v="721.5"/>
    <n v="289"/>
    <x v="6"/>
    <x v="2"/>
    <x v="137"/>
    <d v="2025-09-24T00:00:00"/>
    <x v="1"/>
    <n v="160395"/>
  </r>
  <r>
    <s v="P438"/>
    <x v="18"/>
    <x v="2"/>
    <x v="4"/>
    <n v="169"/>
    <n v="236.6"/>
    <n v="219"/>
    <x v="1"/>
    <x v="0"/>
    <x v="293"/>
    <d v="2025-12-13T00:00:00"/>
    <x v="1"/>
    <n v="37011"/>
  </r>
  <r>
    <s v="P439"/>
    <x v="16"/>
    <x v="0"/>
    <x v="5"/>
    <n v="649"/>
    <n v="843.7"/>
    <n v="212"/>
    <x v="1"/>
    <x v="2"/>
    <x v="294"/>
    <d v="2025-09-29T00:00:00"/>
    <x v="1"/>
    <n v="137588"/>
  </r>
  <r>
    <s v="P440"/>
    <x v="19"/>
    <x v="2"/>
    <x v="4"/>
    <n v="206"/>
    <n v="267.8"/>
    <n v="201"/>
    <x v="1"/>
    <x v="2"/>
    <x v="295"/>
    <d v="2025-01-15T00:00:00"/>
    <x v="1"/>
    <n v="41406"/>
  </r>
  <r>
    <s v="P441"/>
    <x v="16"/>
    <x v="0"/>
    <x v="1"/>
    <n v="49"/>
    <n v="63.7"/>
    <n v="185"/>
    <x v="4"/>
    <x v="2"/>
    <x v="131"/>
    <d v="2026-01-26T00:00:00"/>
    <x v="1"/>
    <n v="9065"/>
  </r>
  <r>
    <s v="P442"/>
    <x v="10"/>
    <x v="1"/>
    <x v="2"/>
    <n v="354"/>
    <n v="495.6"/>
    <n v="229"/>
    <x v="2"/>
    <x v="0"/>
    <x v="296"/>
    <d v="2026-03-21T00:00:00"/>
    <x v="1"/>
    <n v="81066"/>
  </r>
  <r>
    <s v="P443"/>
    <x v="7"/>
    <x v="0"/>
    <x v="4"/>
    <n v="449"/>
    <n v="538.79999999999995"/>
    <n v="235"/>
    <x v="1"/>
    <x v="2"/>
    <x v="297"/>
    <d v="2026-01-18T00:00:00"/>
    <x v="1"/>
    <n v="105515"/>
  </r>
  <r>
    <s v="P444"/>
    <x v="13"/>
    <x v="1"/>
    <x v="2"/>
    <n v="497"/>
    <n v="646.1"/>
    <n v="225"/>
    <x v="2"/>
    <x v="0"/>
    <x v="298"/>
    <d v="2026-03-23T00:00:00"/>
    <x v="1"/>
    <n v="111825"/>
  </r>
  <r>
    <s v="P445"/>
    <x v="5"/>
    <x v="1"/>
    <x v="4"/>
    <n v="551"/>
    <n v="771.4"/>
    <n v="185"/>
    <x v="0"/>
    <x v="2"/>
    <x v="299"/>
    <d v="2025-10-08T00:00:00"/>
    <x v="1"/>
    <n v="101935"/>
  </r>
  <r>
    <s v="P446"/>
    <x v="1"/>
    <x v="1"/>
    <x v="4"/>
    <n v="63"/>
    <n v="75.599999999999994"/>
    <n v="204"/>
    <x v="6"/>
    <x v="0"/>
    <x v="271"/>
    <d v="2026-02-20T00:00:00"/>
    <x v="1"/>
    <n v="12852"/>
  </r>
  <r>
    <s v="P447"/>
    <x v="7"/>
    <x v="0"/>
    <x v="4"/>
    <n v="571"/>
    <n v="685.2"/>
    <n v="177"/>
    <x v="0"/>
    <x v="1"/>
    <x v="56"/>
    <d v="2025-04-05T00:00:00"/>
    <x v="1"/>
    <n v="101067"/>
  </r>
  <r>
    <s v="P448"/>
    <x v="13"/>
    <x v="1"/>
    <x v="0"/>
    <n v="432"/>
    <n v="518.4"/>
    <n v="200"/>
    <x v="0"/>
    <x v="2"/>
    <x v="123"/>
    <d v="2026-03-01T00:00:00"/>
    <x v="1"/>
    <n v="86400"/>
  </r>
  <r>
    <s v="P449"/>
    <x v="18"/>
    <x v="2"/>
    <x v="1"/>
    <n v="383"/>
    <n v="497.9"/>
    <n v="18"/>
    <x v="1"/>
    <x v="0"/>
    <x v="300"/>
    <d v="2025-05-01T00:00:00"/>
    <x v="1"/>
    <n v="6894"/>
  </r>
  <r>
    <s v="P450"/>
    <x v="9"/>
    <x v="3"/>
    <x v="2"/>
    <n v="346"/>
    <n v="415.2"/>
    <n v="152"/>
    <x v="1"/>
    <x v="1"/>
    <x v="301"/>
    <d v="2025-07-04T00:00:00"/>
    <x v="1"/>
    <n v="52592"/>
  </r>
  <r>
    <s v="P451"/>
    <x v="7"/>
    <x v="0"/>
    <x v="4"/>
    <n v="21"/>
    <n v="27.3"/>
    <n v="31"/>
    <x v="2"/>
    <x v="2"/>
    <x v="302"/>
    <d v="2025-08-08T00:00:00"/>
    <x v="0"/>
    <n v="651"/>
  </r>
  <r>
    <s v="P452"/>
    <x v="14"/>
    <x v="1"/>
    <x v="2"/>
    <n v="187"/>
    <n v="224.4"/>
    <n v="79"/>
    <x v="4"/>
    <x v="1"/>
    <x v="124"/>
    <d v="2026-03-29T00:00:00"/>
    <x v="1"/>
    <n v="14773"/>
  </r>
  <r>
    <s v="P453"/>
    <x v="20"/>
    <x v="1"/>
    <x v="3"/>
    <n v="121"/>
    <n v="157.30000000000001"/>
    <n v="227"/>
    <x v="6"/>
    <x v="2"/>
    <x v="73"/>
    <d v="2026-05-29T00:00:00"/>
    <x v="1"/>
    <n v="27467"/>
  </r>
  <r>
    <s v="P454"/>
    <x v="16"/>
    <x v="0"/>
    <x v="3"/>
    <n v="141"/>
    <n v="169.2"/>
    <n v="78"/>
    <x v="2"/>
    <x v="0"/>
    <x v="6"/>
    <d v="2025-12-07T00:00:00"/>
    <x v="1"/>
    <n v="10998"/>
  </r>
  <r>
    <s v="P455"/>
    <x v="11"/>
    <x v="2"/>
    <x v="0"/>
    <n v="73"/>
    <n v="109.5"/>
    <n v="216"/>
    <x v="0"/>
    <x v="2"/>
    <x v="303"/>
    <d v="2026-01-14T00:00:00"/>
    <x v="1"/>
    <n v="15768"/>
  </r>
  <r>
    <s v="P456"/>
    <x v="11"/>
    <x v="2"/>
    <x v="1"/>
    <n v="696"/>
    <n v="1044"/>
    <n v="297"/>
    <x v="5"/>
    <x v="1"/>
    <x v="114"/>
    <d v="2025-05-06T00:00:00"/>
    <x v="1"/>
    <n v="206712"/>
  </r>
  <r>
    <s v="P457"/>
    <x v="0"/>
    <x v="0"/>
    <x v="3"/>
    <n v="229"/>
    <n v="320.60000000000002"/>
    <n v="256"/>
    <x v="5"/>
    <x v="0"/>
    <x v="304"/>
    <d v="2025-09-07T00:00:00"/>
    <x v="1"/>
    <n v="58624"/>
  </r>
  <r>
    <s v="P458"/>
    <x v="8"/>
    <x v="0"/>
    <x v="3"/>
    <n v="330"/>
    <n v="396"/>
    <n v="194"/>
    <x v="0"/>
    <x v="2"/>
    <x v="305"/>
    <d v="2025-07-06T00:00:00"/>
    <x v="1"/>
    <n v="64020"/>
  </r>
  <r>
    <s v="P459"/>
    <x v="7"/>
    <x v="0"/>
    <x v="2"/>
    <n v="356"/>
    <n v="498.4"/>
    <n v="29"/>
    <x v="1"/>
    <x v="2"/>
    <x v="165"/>
    <d v="2026-04-02T00:00:00"/>
    <x v="1"/>
    <n v="10324"/>
  </r>
  <r>
    <s v="P460"/>
    <x v="2"/>
    <x v="0"/>
    <x v="2"/>
    <n v="191"/>
    <n v="229.2"/>
    <n v="246"/>
    <x v="6"/>
    <x v="0"/>
    <x v="306"/>
    <d v="2026-01-20T00:00:00"/>
    <x v="1"/>
    <n v="46986"/>
  </r>
  <r>
    <s v="P461"/>
    <x v="9"/>
    <x v="3"/>
    <x v="1"/>
    <n v="340"/>
    <n v="442"/>
    <n v="78"/>
    <x v="0"/>
    <x v="2"/>
    <x v="196"/>
    <d v="2026-05-13T00:00:00"/>
    <x v="1"/>
    <n v="26520"/>
  </r>
  <r>
    <s v="P462"/>
    <x v="0"/>
    <x v="0"/>
    <x v="3"/>
    <n v="215"/>
    <n v="301"/>
    <n v="170"/>
    <x v="4"/>
    <x v="2"/>
    <x v="307"/>
    <d v="2025-11-19T00:00:00"/>
    <x v="1"/>
    <n v="36550"/>
  </r>
  <r>
    <s v="P463"/>
    <x v="11"/>
    <x v="2"/>
    <x v="4"/>
    <n v="340"/>
    <n v="408"/>
    <n v="203"/>
    <x v="2"/>
    <x v="2"/>
    <x v="308"/>
    <d v="2026-03-29T00:00:00"/>
    <x v="1"/>
    <n v="69020"/>
  </r>
  <r>
    <s v="P464"/>
    <x v="3"/>
    <x v="2"/>
    <x v="1"/>
    <n v="598"/>
    <n v="777.4"/>
    <n v="85"/>
    <x v="1"/>
    <x v="0"/>
    <x v="127"/>
    <d v="2025-04-24T00:00:00"/>
    <x v="1"/>
    <n v="50830"/>
  </r>
  <r>
    <s v="P465"/>
    <x v="4"/>
    <x v="3"/>
    <x v="0"/>
    <n v="372"/>
    <n v="558"/>
    <n v="183"/>
    <x v="4"/>
    <x v="2"/>
    <x v="47"/>
    <d v="2025-08-13T00:00:00"/>
    <x v="1"/>
    <n v="68076"/>
  </r>
  <r>
    <s v="P466"/>
    <x v="16"/>
    <x v="0"/>
    <x v="4"/>
    <n v="545"/>
    <n v="817.5"/>
    <n v="151"/>
    <x v="6"/>
    <x v="2"/>
    <x v="26"/>
    <d v="2025-06-17T00:00:00"/>
    <x v="1"/>
    <n v="82295"/>
  </r>
  <r>
    <s v="P467"/>
    <x v="3"/>
    <x v="2"/>
    <x v="5"/>
    <n v="48"/>
    <n v="57.6"/>
    <n v="299"/>
    <x v="4"/>
    <x v="1"/>
    <x v="45"/>
    <d v="2026-01-27T00:00:00"/>
    <x v="1"/>
    <n v="14352"/>
  </r>
  <r>
    <s v="P468"/>
    <x v="17"/>
    <x v="2"/>
    <x v="1"/>
    <n v="276"/>
    <n v="386.4"/>
    <n v="161"/>
    <x v="6"/>
    <x v="0"/>
    <x v="64"/>
    <d v="2026-06-18T00:00:00"/>
    <x v="1"/>
    <n v="44436"/>
  </r>
  <r>
    <s v="P469"/>
    <x v="12"/>
    <x v="3"/>
    <x v="1"/>
    <n v="329"/>
    <n v="427.7"/>
    <n v="296"/>
    <x v="5"/>
    <x v="1"/>
    <x v="259"/>
    <d v="2025-07-01T00:00:00"/>
    <x v="1"/>
    <n v="97384"/>
  </r>
  <r>
    <s v="P470"/>
    <x v="3"/>
    <x v="2"/>
    <x v="0"/>
    <n v="324"/>
    <n v="486"/>
    <n v="256"/>
    <x v="5"/>
    <x v="1"/>
    <x v="284"/>
    <d v="2025-12-22T00:00:00"/>
    <x v="1"/>
    <n v="82944"/>
  </r>
  <r>
    <s v="P471"/>
    <x v="16"/>
    <x v="0"/>
    <x v="0"/>
    <n v="590"/>
    <n v="826"/>
    <n v="255"/>
    <x v="3"/>
    <x v="2"/>
    <x v="309"/>
    <d v="2026-03-01T00:00:00"/>
    <x v="1"/>
    <n v="150450"/>
  </r>
  <r>
    <s v="P472"/>
    <x v="14"/>
    <x v="1"/>
    <x v="5"/>
    <n v="7"/>
    <n v="9.8000000000000007"/>
    <n v="16"/>
    <x v="2"/>
    <x v="0"/>
    <x v="310"/>
    <d v="2026-04-10T00:00:00"/>
    <x v="0"/>
    <n v="112"/>
  </r>
  <r>
    <s v="P473"/>
    <x v="11"/>
    <x v="2"/>
    <x v="4"/>
    <n v="184"/>
    <n v="257.60000000000002"/>
    <n v="30"/>
    <x v="2"/>
    <x v="1"/>
    <x v="311"/>
    <d v="2026-02-10T00:00:00"/>
    <x v="0"/>
    <n v="5520"/>
  </r>
  <r>
    <s v="P474"/>
    <x v="1"/>
    <x v="1"/>
    <x v="0"/>
    <n v="508"/>
    <n v="609.6"/>
    <n v="200"/>
    <x v="0"/>
    <x v="0"/>
    <x v="312"/>
    <d v="2025-12-09T00:00:00"/>
    <x v="1"/>
    <n v="101600"/>
  </r>
  <r>
    <s v="P475"/>
    <x v="13"/>
    <x v="1"/>
    <x v="1"/>
    <n v="117"/>
    <n v="175.5"/>
    <n v="43"/>
    <x v="1"/>
    <x v="0"/>
    <x v="10"/>
    <d v="2026-06-22T00:00:00"/>
    <x v="1"/>
    <n v="5031"/>
  </r>
  <r>
    <s v="P476"/>
    <x v="16"/>
    <x v="0"/>
    <x v="3"/>
    <n v="170"/>
    <n v="204"/>
    <n v="260"/>
    <x v="2"/>
    <x v="2"/>
    <x v="313"/>
    <d v="2026-02-16T00:00:00"/>
    <x v="1"/>
    <n v="44200"/>
  </r>
  <r>
    <s v="P477"/>
    <x v="17"/>
    <x v="2"/>
    <x v="1"/>
    <n v="390"/>
    <n v="507"/>
    <n v="28"/>
    <x v="2"/>
    <x v="0"/>
    <x v="211"/>
    <d v="2025-12-10T00:00:00"/>
    <x v="0"/>
    <n v="10920"/>
  </r>
  <r>
    <s v="P478"/>
    <x v="11"/>
    <x v="2"/>
    <x v="3"/>
    <n v="686"/>
    <n v="823.2"/>
    <n v="104"/>
    <x v="0"/>
    <x v="2"/>
    <x v="314"/>
    <d v="2025-09-30T00:00:00"/>
    <x v="1"/>
    <n v="71344"/>
  </r>
  <r>
    <s v="P479"/>
    <x v="13"/>
    <x v="1"/>
    <x v="0"/>
    <n v="512"/>
    <n v="614.4"/>
    <n v="127"/>
    <x v="3"/>
    <x v="0"/>
    <x v="271"/>
    <d v="2026-03-05T00:00:00"/>
    <x v="1"/>
    <n v="65024"/>
  </r>
  <r>
    <s v="P480"/>
    <x v="22"/>
    <x v="3"/>
    <x v="5"/>
    <n v="450"/>
    <n v="630"/>
    <n v="265"/>
    <x v="5"/>
    <x v="2"/>
    <x v="315"/>
    <d v="2025-04-28T00:00:00"/>
    <x v="1"/>
    <n v="119250"/>
  </r>
  <r>
    <s v="P481"/>
    <x v="8"/>
    <x v="0"/>
    <x v="2"/>
    <n v="51"/>
    <n v="76.5"/>
    <n v="234"/>
    <x v="4"/>
    <x v="1"/>
    <x v="316"/>
    <d v="2026-01-27T00:00:00"/>
    <x v="1"/>
    <n v="11934"/>
  </r>
  <r>
    <s v="P482"/>
    <x v="15"/>
    <x v="3"/>
    <x v="3"/>
    <n v="147"/>
    <n v="205.8"/>
    <n v="65"/>
    <x v="4"/>
    <x v="1"/>
    <x v="317"/>
    <d v="2025-03-04T00:00:00"/>
    <x v="1"/>
    <n v="9555"/>
  </r>
  <r>
    <s v="P483"/>
    <x v="16"/>
    <x v="0"/>
    <x v="1"/>
    <n v="213"/>
    <n v="298.2"/>
    <n v="271"/>
    <x v="6"/>
    <x v="0"/>
    <x v="180"/>
    <d v="2025-12-17T00:00:00"/>
    <x v="1"/>
    <n v="57723"/>
  </r>
  <r>
    <s v="P484"/>
    <x v="17"/>
    <x v="2"/>
    <x v="1"/>
    <n v="32"/>
    <n v="44.8"/>
    <n v="59"/>
    <x v="4"/>
    <x v="2"/>
    <x v="102"/>
    <d v="2025-05-20T00:00:00"/>
    <x v="1"/>
    <n v="1888"/>
  </r>
  <r>
    <s v="P485"/>
    <x v="4"/>
    <x v="3"/>
    <x v="2"/>
    <n v="615"/>
    <n v="861"/>
    <n v="175"/>
    <x v="5"/>
    <x v="2"/>
    <x v="241"/>
    <d v="2026-06-01T00:00:00"/>
    <x v="1"/>
    <n v="107625"/>
  </r>
  <r>
    <s v="P486"/>
    <x v="2"/>
    <x v="0"/>
    <x v="2"/>
    <n v="132"/>
    <n v="198"/>
    <n v="112"/>
    <x v="4"/>
    <x v="1"/>
    <x v="318"/>
    <d v="2026-05-12T00:00:00"/>
    <x v="1"/>
    <n v="14784"/>
  </r>
  <r>
    <s v="P487"/>
    <x v="19"/>
    <x v="2"/>
    <x v="2"/>
    <n v="341"/>
    <n v="477.4"/>
    <n v="217"/>
    <x v="5"/>
    <x v="1"/>
    <x v="219"/>
    <d v="2025-09-09T00:00:00"/>
    <x v="1"/>
    <n v="73997"/>
  </r>
  <r>
    <s v="P488"/>
    <x v="9"/>
    <x v="3"/>
    <x v="1"/>
    <n v="100"/>
    <n v="120"/>
    <n v="155"/>
    <x v="2"/>
    <x v="2"/>
    <x v="73"/>
    <d v="2026-05-14T00:00:00"/>
    <x v="1"/>
    <n v="15500"/>
  </r>
  <r>
    <s v="P489"/>
    <x v="21"/>
    <x v="3"/>
    <x v="5"/>
    <n v="150"/>
    <n v="210"/>
    <n v="39"/>
    <x v="6"/>
    <x v="1"/>
    <x v="319"/>
    <d v="2026-06-21T00:00:00"/>
    <x v="1"/>
    <n v="5850"/>
  </r>
  <r>
    <s v="P490"/>
    <x v="17"/>
    <x v="2"/>
    <x v="1"/>
    <n v="689"/>
    <n v="895.7"/>
    <n v="49"/>
    <x v="5"/>
    <x v="2"/>
    <x v="69"/>
    <d v="2025-03-30T00:00:00"/>
    <x v="1"/>
    <n v="33761"/>
  </r>
  <r>
    <s v="P491"/>
    <x v="4"/>
    <x v="3"/>
    <x v="3"/>
    <n v="243"/>
    <n v="315.89999999999998"/>
    <n v="134"/>
    <x v="6"/>
    <x v="2"/>
    <x v="8"/>
    <d v="2026-07-29T00:00:00"/>
    <x v="1"/>
    <n v="32562"/>
  </r>
  <r>
    <s v="P492"/>
    <x v="18"/>
    <x v="2"/>
    <x v="4"/>
    <n v="130"/>
    <n v="156"/>
    <n v="81"/>
    <x v="2"/>
    <x v="0"/>
    <x v="197"/>
    <d v="2025-09-04T00:00:00"/>
    <x v="1"/>
    <n v="10530"/>
  </r>
  <r>
    <s v="P493"/>
    <x v="7"/>
    <x v="0"/>
    <x v="1"/>
    <n v="632"/>
    <n v="758.4"/>
    <n v="124"/>
    <x v="3"/>
    <x v="2"/>
    <x v="128"/>
    <d v="2026-03-12T00:00:00"/>
    <x v="1"/>
    <n v="78368"/>
  </r>
  <r>
    <s v="P494"/>
    <x v="2"/>
    <x v="0"/>
    <x v="2"/>
    <n v="516"/>
    <n v="722.4"/>
    <n v="99"/>
    <x v="5"/>
    <x v="2"/>
    <x v="320"/>
    <d v="2025-10-03T00:00:00"/>
    <x v="1"/>
    <n v="51084"/>
  </r>
  <r>
    <s v="P495"/>
    <x v="18"/>
    <x v="2"/>
    <x v="0"/>
    <n v="47"/>
    <n v="70.5"/>
    <n v="270"/>
    <x v="0"/>
    <x v="0"/>
    <x v="57"/>
    <d v="2025-08-01T00:00:00"/>
    <x v="1"/>
    <n v="12690"/>
  </r>
  <r>
    <s v="P496"/>
    <x v="3"/>
    <x v="2"/>
    <x v="0"/>
    <n v="186"/>
    <n v="260.39999999999998"/>
    <n v="21"/>
    <x v="0"/>
    <x v="1"/>
    <x v="57"/>
    <d v="2025-09-10T00:00:00"/>
    <x v="0"/>
    <n v="3906"/>
  </r>
  <r>
    <s v="P497"/>
    <x v="10"/>
    <x v="1"/>
    <x v="2"/>
    <n v="35"/>
    <n v="49"/>
    <n v="141"/>
    <x v="1"/>
    <x v="0"/>
    <x v="321"/>
    <d v="2025-04-08T00:00:00"/>
    <x v="1"/>
    <n v="4935"/>
  </r>
  <r>
    <s v="P498"/>
    <x v="15"/>
    <x v="3"/>
    <x v="2"/>
    <n v="188"/>
    <n v="244.4"/>
    <n v="187"/>
    <x v="3"/>
    <x v="1"/>
    <x v="203"/>
    <d v="2025-10-22T00:00:00"/>
    <x v="1"/>
    <n v="35156"/>
  </r>
  <r>
    <s v="P499"/>
    <x v="20"/>
    <x v="1"/>
    <x v="3"/>
    <n v="556"/>
    <n v="722.8"/>
    <n v="92"/>
    <x v="4"/>
    <x v="0"/>
    <x v="147"/>
    <d v="2025-03-30T00:00:00"/>
    <x v="1"/>
    <n v="51152"/>
  </r>
  <r>
    <s v="P500"/>
    <x v="12"/>
    <x v="3"/>
    <x v="5"/>
    <n v="264"/>
    <n v="343.2"/>
    <n v="103"/>
    <x v="1"/>
    <x v="1"/>
    <x v="88"/>
    <d v="2026-03-31T00:00:00"/>
    <x v="1"/>
    <n v="27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3CF14-C32B-B047-811C-ECA4DA9AC53F}" name="Stock Status"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atus">
  <location ref="A19:B23" firstHeaderRow="1" firstDataRow="1" firstDataCol="1"/>
  <pivotFields count="15">
    <pivotField dataField="1" showAll="0"/>
    <pivotField showAll="0"/>
    <pivotField showAll="0">
      <items count="5">
        <item x="2"/>
        <item x="3"/>
        <item x="0"/>
        <item x="1"/>
        <item t="default"/>
      </items>
    </pivotField>
    <pivotField showAll="0">
      <items count="7">
        <item x="2"/>
        <item x="5"/>
        <item x="4"/>
        <item x="0"/>
        <item x="1"/>
        <item x="3"/>
        <item t="default"/>
      </items>
    </pivotField>
    <pivotField showAll="0"/>
    <pivotField showAll="0"/>
    <pivotField showAll="0"/>
    <pivotField showAll="0"/>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Count of Product ID" fld="0"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7CC39-AA35-7548-9F9C-1CE9A1389E9B}" name="Total Quantity by Warehouse"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rehouse">
  <location ref="G13:H17" firstHeaderRow="1" firstDataRow="1" firstDataCol="1"/>
  <pivotFields count="15">
    <pivotField showAll="0"/>
    <pivotField showAll="0"/>
    <pivotField showAll="0">
      <items count="5">
        <item x="2"/>
        <item x="3"/>
        <item x="0"/>
        <item x="1"/>
        <item t="default"/>
      </items>
    </pivotField>
    <pivotField showAll="0">
      <items count="7">
        <item x="2"/>
        <item x="5"/>
        <item x="4"/>
        <item x="0"/>
        <item x="1"/>
        <item x="3"/>
        <item t="default"/>
      </items>
    </pivotField>
    <pivotField showAll="0"/>
    <pivotField showAll="0"/>
    <pivotField dataField="1" showAll="0"/>
    <pivotField showAll="0"/>
    <pivotField axis="axisRow"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showAll="0"/>
    <pivotField showAll="0" defaultSubtotal="0"/>
    <pivotField showAll="0" defaultSubtotal="0">
      <items count="4">
        <item x="0"/>
        <item x="1"/>
        <item x="2"/>
        <item x="3"/>
      </items>
    </pivotField>
  </pivotFields>
  <rowFields count="1">
    <field x="8"/>
  </rowFields>
  <rowItems count="4">
    <i>
      <x/>
    </i>
    <i>
      <x v="1"/>
    </i>
    <i>
      <x v="2"/>
    </i>
    <i t="grand">
      <x/>
    </i>
  </rowItems>
  <colItems count="1">
    <i/>
  </colItems>
  <dataFields count="1">
    <dataField name="Sum of Quantity in Stock"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C54351-3CC2-1A47-A0DE-F2C34B0BE83D}" name="Inventory Value by Warehouse"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arehouse">
  <location ref="A11:B15" firstHeaderRow="1" firstDataRow="1" firstDataCol="1"/>
  <pivotFields count="15">
    <pivotField showAll="0"/>
    <pivotField showAll="0"/>
    <pivotField showAll="0">
      <items count="5">
        <item x="2"/>
        <item x="3"/>
        <item x="0"/>
        <item x="1"/>
        <item t="default"/>
      </items>
    </pivotField>
    <pivotField showAll="0">
      <items count="7">
        <item x="2"/>
        <item x="5"/>
        <item x="4"/>
        <item x="0"/>
        <item x="1"/>
        <item x="3"/>
        <item t="default"/>
      </items>
    </pivotField>
    <pivotField showAll="0"/>
    <pivotField showAll="0"/>
    <pivotField showAll="0"/>
    <pivotField showAll="0"/>
    <pivotField axis="axisRow"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Inventory Value" fld="12" baseField="0" baseItem="0" numFmtId="164"/>
  </dataFields>
  <formats count="2">
    <format dxfId="13">
      <pivotArea collapsedLevelsAreSubtotals="1" fieldPosition="0">
        <references count="1">
          <reference field="8" count="1">
            <x v="0"/>
          </reference>
        </references>
      </pivotArea>
    </format>
    <format dxfId="12">
      <pivotArea outline="0" collapsedLevelsAreSubtotals="1"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4FD4C-3419-C24B-BE7B-BCC2A73F203E}" name="Inventory by Category"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3:B8" firstHeaderRow="1" firstDataRow="1" firstDataCol="1"/>
  <pivotFields count="15">
    <pivotField showAll="0"/>
    <pivotField showAll="0"/>
    <pivotField axis="axisRow" showAll="0">
      <items count="5">
        <item x="2"/>
        <item x="3"/>
        <item x="0"/>
        <item x="1"/>
        <item t="default"/>
      </items>
    </pivotField>
    <pivotField showAll="0">
      <items count="7">
        <item x="2"/>
        <item x="5"/>
        <item x="4"/>
        <item x="0"/>
        <item x="1"/>
        <item x="3"/>
        <item t="default"/>
      </items>
    </pivotField>
    <pivotField showAll="0"/>
    <pivotField showAll="0"/>
    <pivotField dataField="1" showAll="0"/>
    <pivotField showAll="0"/>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Quantity in Stock"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24C024-ADF0-D54F-9C6C-D7D0F2E297F3}" name="Supplier Contribution"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location ref="G3:H10" firstHeaderRow="1" firstDataRow="1" firstDataCol="1"/>
  <pivotFields count="15">
    <pivotField showAll="0"/>
    <pivotField showAll="0"/>
    <pivotField showAll="0">
      <items count="5">
        <item x="2"/>
        <item x="3"/>
        <item x="0"/>
        <item x="1"/>
        <item t="default"/>
      </items>
    </pivotField>
    <pivotField axis="axisRow" showAll="0" sortType="descending">
      <items count="7">
        <item x="2"/>
        <item x="5"/>
        <item x="4"/>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dataField="1" showAll="0"/>
    <pivotField showAll="0" defaultSubtotal="0"/>
    <pivotField showAll="0" defaultSubtotal="0">
      <items count="4">
        <item x="0"/>
        <item x="1"/>
        <item x="2"/>
        <item x="3"/>
      </items>
    </pivotField>
  </pivotFields>
  <rowFields count="1">
    <field x="3"/>
  </rowFields>
  <rowItems count="7">
    <i>
      <x v="3"/>
    </i>
    <i>
      <x/>
    </i>
    <i>
      <x v="1"/>
    </i>
    <i>
      <x v="4"/>
    </i>
    <i>
      <x v="2"/>
    </i>
    <i>
      <x v="5"/>
    </i>
    <i t="grand">
      <x/>
    </i>
  </rowItems>
  <colItems count="1">
    <i/>
  </colItems>
  <dataFields count="1">
    <dataField name="Sum of Inventory Value" fld="12"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B0D744-FFD9-C546-B97E-D5BA92312EFA}" name="Monthly Purchases"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urchase Date">
  <location ref="D17:E38" firstHeaderRow="1" firstDataRow="1" firstDataCol="1"/>
  <pivotFields count="15">
    <pivotField dataField="1" showAll="0"/>
    <pivotField showAll="0"/>
    <pivotField showAll="0">
      <items count="5">
        <item x="2"/>
        <item x="3"/>
        <item x="0"/>
        <item x="1"/>
        <item t="default"/>
      </items>
    </pivotField>
    <pivotField showAll="0">
      <items count="7">
        <item x="2"/>
        <item x="5"/>
        <item x="4"/>
        <item x="0"/>
        <item x="1"/>
        <item x="3"/>
        <item t="default"/>
      </items>
    </pivotField>
    <pivotField showAll="0"/>
    <pivotField showAll="0"/>
    <pivotField showAll="0"/>
    <pivotField showAll="0"/>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4"/>
    <field x="13"/>
  </rowFields>
  <rowItems count="21">
    <i>
      <x v="1"/>
    </i>
    <i r="1">
      <x v="1"/>
    </i>
    <i r="1">
      <x v="2"/>
    </i>
    <i r="1">
      <x v="3"/>
    </i>
    <i r="1">
      <x v="4"/>
    </i>
    <i r="1">
      <x v="5"/>
    </i>
    <i r="1">
      <x v="6"/>
    </i>
    <i r="1">
      <x v="7"/>
    </i>
    <i r="1">
      <x v="8"/>
    </i>
    <i r="1">
      <x v="9"/>
    </i>
    <i r="1">
      <x v="10"/>
    </i>
    <i r="1">
      <x v="11"/>
    </i>
    <i r="1">
      <x v="12"/>
    </i>
    <i>
      <x v="2"/>
    </i>
    <i r="1">
      <x v="1"/>
    </i>
    <i r="1">
      <x v="2"/>
    </i>
    <i r="1">
      <x v="3"/>
    </i>
    <i r="1">
      <x v="4"/>
    </i>
    <i r="1">
      <x v="5"/>
    </i>
    <i r="1">
      <x v="6"/>
    </i>
    <i t="grand">
      <x/>
    </i>
  </rowItems>
  <colItems count="1">
    <i/>
  </colItems>
  <dataFields count="1">
    <dataField name="Count of Product ID" fld="0" subtotal="count" baseField="0" baseItem="0"/>
  </dataFields>
  <chartFormats count="4">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4" count="1" selected="0">
            <x v="1"/>
          </reference>
        </references>
      </pivotArea>
    </chartFormat>
    <chartFormat chart="11" format="16">
      <pivotArea type="data" outline="0" fieldPosition="0">
        <references count="2">
          <reference field="4294967294" count="1" selected="0">
            <x v="0"/>
          </reference>
          <reference field="14" count="1" selected="0">
            <x v="2"/>
          </reference>
        </references>
      </pivotArea>
    </chartFormat>
    <chartFormat chart="11" format="17">
      <pivotArea type="data" outline="0" fieldPosition="0">
        <references count="3">
          <reference field="4294967294" count="1" selected="0">
            <x v="0"/>
          </reference>
          <reference field="13" count="1" selected="0">
            <x v="1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11CA14-9B27-C54C-8FFB-A71512B31990}" name="Top 10 Highest Value Products"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Product Name">
  <location ref="D3:E14" firstHeaderRow="1" firstDataRow="1" firstDataCol="1"/>
  <pivotFields count="15">
    <pivotField showAll="0"/>
    <pivotField axis="axisRow" showAll="0" measureFilter="1" sortType="descending">
      <items count="24">
        <item x="7"/>
        <item x="0"/>
        <item x="2"/>
        <item x="19"/>
        <item x="1"/>
        <item x="18"/>
        <item x="9"/>
        <item x="4"/>
        <item x="6"/>
        <item x="17"/>
        <item x="10"/>
        <item x="16"/>
        <item x="22"/>
        <item x="15"/>
        <item x="3"/>
        <item x="5"/>
        <item x="8"/>
        <item x="20"/>
        <item x="14"/>
        <item x="21"/>
        <item x="13"/>
        <item x="11"/>
        <item x="12"/>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7">
        <item x="2"/>
        <item x="5"/>
        <item x="4"/>
        <item x="0"/>
        <item x="1"/>
        <item x="3"/>
        <item t="default"/>
      </items>
    </pivotField>
    <pivotField showAll="0"/>
    <pivotField showAll="0"/>
    <pivotField showAll="0"/>
    <pivotField showAll="0"/>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11">
    <i>
      <x v="2"/>
    </i>
    <i>
      <x v="18"/>
    </i>
    <i>
      <x v="16"/>
    </i>
    <i>
      <x v="21"/>
    </i>
    <i>
      <x v="11"/>
    </i>
    <i>
      <x v="20"/>
    </i>
    <i>
      <x v="5"/>
    </i>
    <i>
      <x v="3"/>
    </i>
    <i>
      <x v="13"/>
    </i>
    <i>
      <x v="14"/>
    </i>
    <i t="grand">
      <x/>
    </i>
  </rowItems>
  <colItems count="1">
    <i/>
  </colItems>
  <dataFields count="1">
    <dataField name="Sum of Inventory Value" fld="12" baseField="0" baseItem="0"/>
  </dataFields>
  <chartFormats count="31">
    <chartFormat chart="2"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1" count="1" selected="0">
            <x v="18"/>
          </reference>
        </references>
      </pivotArea>
    </chartFormat>
    <chartFormat chart="11" format="4" series="1">
      <pivotArea type="data" outline="0" fieldPosition="0">
        <references count="2">
          <reference field="4294967294" count="1" selected="0">
            <x v="0"/>
          </reference>
          <reference field="1" count="1" selected="0">
            <x v="16"/>
          </reference>
        </references>
      </pivotArea>
    </chartFormat>
    <chartFormat chart="11" format="5" series="1">
      <pivotArea type="data" outline="0" fieldPosition="0">
        <references count="2">
          <reference field="4294967294" count="1" selected="0">
            <x v="0"/>
          </reference>
          <reference field="1" count="1" selected="0">
            <x v="21"/>
          </reference>
        </references>
      </pivotArea>
    </chartFormat>
    <chartFormat chart="11" format="6" series="1">
      <pivotArea type="data" outline="0" fieldPosition="0">
        <references count="2">
          <reference field="4294967294" count="1" selected="0">
            <x v="0"/>
          </reference>
          <reference field="1" count="1" selected="0">
            <x v="11"/>
          </reference>
        </references>
      </pivotArea>
    </chartFormat>
    <chartFormat chart="11" format="7" series="1">
      <pivotArea type="data" outline="0" fieldPosition="0">
        <references count="2">
          <reference field="4294967294" count="1" selected="0">
            <x v="0"/>
          </reference>
          <reference field="1" count="1" selected="0">
            <x v="20"/>
          </reference>
        </references>
      </pivotArea>
    </chartFormat>
    <chartFormat chart="11" format="8" series="1">
      <pivotArea type="data" outline="0" fieldPosition="0">
        <references count="2">
          <reference field="4294967294" count="1" selected="0">
            <x v="0"/>
          </reference>
          <reference field="1" count="1" selected="0">
            <x v="5"/>
          </reference>
        </references>
      </pivotArea>
    </chartFormat>
    <chartFormat chart="11" format="9" series="1">
      <pivotArea type="data" outline="0" fieldPosition="0">
        <references count="2">
          <reference field="4294967294" count="1" selected="0">
            <x v="0"/>
          </reference>
          <reference field="1" count="1" selected="0">
            <x v="3"/>
          </reference>
        </references>
      </pivotArea>
    </chartFormat>
    <chartFormat chart="11" format="10" series="1">
      <pivotArea type="data" outline="0" fieldPosition="0">
        <references count="2">
          <reference field="4294967294" count="1" selected="0">
            <x v="0"/>
          </reference>
          <reference field="1" count="1" selected="0">
            <x v="13"/>
          </reference>
        </references>
      </pivotArea>
    </chartFormat>
    <chartFormat chart="11" format="11" series="1">
      <pivotArea type="data" outline="0" fieldPosition="0">
        <references count="2">
          <reference field="4294967294" count="1" selected="0">
            <x v="0"/>
          </reference>
          <reference field="1" count="1" selected="0">
            <x v="14"/>
          </reference>
        </references>
      </pivotArea>
    </chartFormat>
    <chartFormat chart="9" format="1" series="1">
      <pivotArea type="data" outline="0" fieldPosition="0">
        <references count="2">
          <reference field="4294967294" count="1" selected="0">
            <x v="0"/>
          </reference>
          <reference field="1" count="1" selected="0">
            <x v="18"/>
          </reference>
        </references>
      </pivotArea>
    </chartFormat>
    <chartFormat chart="9" format="2" series="1">
      <pivotArea type="data" outline="0" fieldPosition="0">
        <references count="2">
          <reference field="4294967294" count="1" selected="0">
            <x v="0"/>
          </reference>
          <reference field="1" count="1" selected="0">
            <x v="16"/>
          </reference>
        </references>
      </pivotArea>
    </chartFormat>
    <chartFormat chart="9" format="3" series="1">
      <pivotArea type="data" outline="0" fieldPosition="0">
        <references count="2">
          <reference field="4294967294" count="1" selected="0">
            <x v="0"/>
          </reference>
          <reference field="1" count="1" selected="0">
            <x v="21"/>
          </reference>
        </references>
      </pivotArea>
    </chartFormat>
    <chartFormat chart="9" format="4" series="1">
      <pivotArea type="data" outline="0" fieldPosition="0">
        <references count="2">
          <reference field="4294967294" count="1" selected="0">
            <x v="0"/>
          </reference>
          <reference field="1" count="1" selected="0">
            <x v="11"/>
          </reference>
        </references>
      </pivotArea>
    </chartFormat>
    <chartFormat chart="9" format="5" series="1">
      <pivotArea type="data" outline="0" fieldPosition="0">
        <references count="2">
          <reference field="4294967294" count="1" selected="0">
            <x v="0"/>
          </reference>
          <reference field="1" count="1" selected="0">
            <x v="20"/>
          </reference>
        </references>
      </pivotArea>
    </chartFormat>
    <chartFormat chart="9" format="6" series="1">
      <pivotArea type="data" outline="0" fieldPosition="0">
        <references count="2">
          <reference field="4294967294" count="1" selected="0">
            <x v="0"/>
          </reference>
          <reference field="1" count="1" selected="0">
            <x v="5"/>
          </reference>
        </references>
      </pivotArea>
    </chartFormat>
    <chartFormat chart="9" format="7" series="1">
      <pivotArea type="data" outline="0" fieldPosition="0">
        <references count="2">
          <reference field="4294967294" count="1" selected="0">
            <x v="0"/>
          </reference>
          <reference field="1" count="1" selected="0">
            <x v="3"/>
          </reference>
        </references>
      </pivotArea>
    </chartFormat>
    <chartFormat chart="9" format="8" series="1">
      <pivotArea type="data" outline="0" fieldPosition="0">
        <references count="2">
          <reference field="4294967294" count="1" selected="0">
            <x v="0"/>
          </reference>
          <reference field="1" count="1" selected="0">
            <x v="13"/>
          </reference>
        </references>
      </pivotArea>
    </chartFormat>
    <chartFormat chart="9" format="9" series="1">
      <pivotArea type="data" outline="0" fieldPosition="0">
        <references count="2">
          <reference field="4294967294" count="1" selected="0">
            <x v="0"/>
          </reference>
          <reference field="1" count="1" selected="0">
            <x v="14"/>
          </reference>
        </references>
      </pivotArea>
    </chartFormat>
    <chartFormat chart="2" format="3" series="1">
      <pivotArea type="data" outline="0" fieldPosition="0">
        <references count="2">
          <reference field="4294967294" count="1" selected="0">
            <x v="0"/>
          </reference>
          <reference field="1" count="1" selected="0">
            <x v="18"/>
          </reference>
        </references>
      </pivotArea>
    </chartFormat>
    <chartFormat chart="2" format="4" series="1">
      <pivotArea type="data" outline="0" fieldPosition="0">
        <references count="2">
          <reference field="4294967294" count="1" selected="0">
            <x v="0"/>
          </reference>
          <reference field="1" count="1" selected="0">
            <x v="16"/>
          </reference>
        </references>
      </pivotArea>
    </chartFormat>
    <chartFormat chart="2" format="5" series="1">
      <pivotArea type="data" outline="0" fieldPosition="0">
        <references count="2">
          <reference field="4294967294" count="1" selected="0">
            <x v="0"/>
          </reference>
          <reference field="1" count="1" selected="0">
            <x v="21"/>
          </reference>
        </references>
      </pivotArea>
    </chartFormat>
    <chartFormat chart="2" format="6" series="1">
      <pivotArea type="data" outline="0" fieldPosition="0">
        <references count="2">
          <reference field="4294967294" count="1" selected="0">
            <x v="0"/>
          </reference>
          <reference field="1" count="1" selected="0">
            <x v="11"/>
          </reference>
        </references>
      </pivotArea>
    </chartFormat>
    <chartFormat chart="2" format="7" series="1">
      <pivotArea type="data" outline="0" fieldPosition="0">
        <references count="2">
          <reference field="4294967294" count="1" selected="0">
            <x v="0"/>
          </reference>
          <reference field="1" count="1" selected="0">
            <x v="20"/>
          </reference>
        </references>
      </pivotArea>
    </chartFormat>
    <chartFormat chart="2" format="8" series="1">
      <pivotArea type="data" outline="0" fieldPosition="0">
        <references count="2">
          <reference field="4294967294" count="1" selected="0">
            <x v="0"/>
          </reference>
          <reference field="1" count="1" selected="0">
            <x v="5"/>
          </reference>
        </references>
      </pivotArea>
    </chartFormat>
    <chartFormat chart="2" format="9" series="1">
      <pivotArea type="data" outline="0" fieldPosition="0">
        <references count="2">
          <reference field="4294967294" count="1" selected="0">
            <x v="0"/>
          </reference>
          <reference field="1" count="1" selected="0">
            <x v="3"/>
          </reference>
        </references>
      </pivotArea>
    </chartFormat>
    <chartFormat chart="2" format="10" series="1">
      <pivotArea type="data" outline="0" fieldPosition="0">
        <references count="2">
          <reference field="4294967294" count="1" selected="0">
            <x v="0"/>
          </reference>
          <reference field="1" count="1" selected="0">
            <x v="13"/>
          </reference>
        </references>
      </pivotArea>
    </chartFormat>
    <chartFormat chart="2" format="11" series="1">
      <pivotArea type="data" outline="0" fieldPosition="0">
        <references count="2">
          <reference field="4294967294" count="1" selected="0">
            <x v="0"/>
          </reference>
          <reference field="1" count="1" selected="0">
            <x v="14"/>
          </reference>
        </references>
      </pivotArea>
    </chartFormat>
    <chartFormat chart="1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76B5C3-3231-EB46-8999-E0391D974AD3}" name="Reorder Level Analysis"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order Level">
  <location ref="J3:K11" firstHeaderRow="1" firstDataRow="1" firstDataCol="1"/>
  <pivotFields count="15">
    <pivotField dataField="1" showAll="0"/>
    <pivotField showAll="0"/>
    <pivotField showAll="0">
      <items count="5">
        <item x="2"/>
        <item x="3"/>
        <item x="0"/>
        <item x="1"/>
        <item t="default"/>
      </items>
    </pivotField>
    <pivotField showAll="0">
      <items count="7">
        <item x="2"/>
        <item x="5"/>
        <item x="4"/>
        <item x="0"/>
        <item x="1"/>
        <item x="3"/>
        <item t="default"/>
      </items>
    </pivotField>
    <pivotField showAll="0"/>
    <pivotField showAll="0"/>
    <pivotField showAll="0"/>
    <pivotField axis="axisRow" showAll="0" sortType="descending">
      <items count="8">
        <item x="1"/>
        <item x="5"/>
        <item x="6"/>
        <item x="0"/>
        <item x="4"/>
        <item x="2"/>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showAll="0"/>
    <pivotField showAll="0" defaultSubtotal="0"/>
    <pivotField showAll="0" defaultSubtotal="0">
      <items count="4">
        <item x="0"/>
        <item x="1"/>
        <item x="2"/>
        <item x="3"/>
      </items>
    </pivotField>
  </pivotFields>
  <rowFields count="1">
    <field x="7"/>
  </rowFields>
  <rowItems count="8">
    <i>
      <x v="3"/>
    </i>
    <i>
      <x v="6"/>
    </i>
    <i>
      <x v="1"/>
    </i>
    <i>
      <x/>
    </i>
    <i>
      <x v="5"/>
    </i>
    <i>
      <x v="4"/>
    </i>
    <i>
      <x v="2"/>
    </i>
    <i t="grand">
      <x/>
    </i>
  </rowItems>
  <colItems count="1">
    <i/>
  </colItems>
  <dataFields count="1">
    <dataField name="Count of Produ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EC454F-E921-504F-A8CE-BE6E875262D3}" name="Average Unit Price by Category"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G20:H25" firstHeaderRow="1" firstDataRow="1" firstDataCol="1"/>
  <pivotFields count="15">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7">
        <item x="2"/>
        <item x="5"/>
        <item x="4"/>
        <item x="0"/>
        <item x="1"/>
        <item x="3"/>
        <item t="default"/>
      </items>
    </pivotField>
    <pivotField showAll="0"/>
    <pivotField dataField="1" showAll="0"/>
    <pivotField showAll="0"/>
    <pivotField showAll="0"/>
    <pivotField showAll="0">
      <items count="4">
        <item x="0"/>
        <item x="1"/>
        <item x="2"/>
        <item t="default"/>
      </items>
    </pivotField>
    <pivotField numFmtId="14" showAll="0">
      <items count="323">
        <item x="200"/>
        <item x="37"/>
        <item x="217"/>
        <item x="202"/>
        <item x="252"/>
        <item x="295"/>
        <item x="136"/>
        <item x="262"/>
        <item x="246"/>
        <item x="148"/>
        <item x="115"/>
        <item x="317"/>
        <item x="210"/>
        <item x="147"/>
        <item x="56"/>
        <item x="277"/>
        <item x="321"/>
        <item x="23"/>
        <item x="63"/>
        <item x="91"/>
        <item x="90"/>
        <item x="129"/>
        <item x="273"/>
        <item x="190"/>
        <item x="231"/>
        <item x="96"/>
        <item x="280"/>
        <item x="77"/>
        <item x="114"/>
        <item x="286"/>
        <item x="281"/>
        <item x="69"/>
        <item x="256"/>
        <item x="248"/>
        <item x="80"/>
        <item x="229"/>
        <item x="42"/>
        <item x="38"/>
        <item x="139"/>
        <item x="144"/>
        <item x="170"/>
        <item x="106"/>
        <item x="7"/>
        <item x="72"/>
        <item x="270"/>
        <item x="235"/>
        <item x="85"/>
        <item x="239"/>
        <item x="116"/>
        <item x="254"/>
        <item x="103"/>
        <item x="263"/>
        <item x="126"/>
        <item x="76"/>
        <item x="132"/>
        <item x="300"/>
        <item x="236"/>
        <item x="174"/>
        <item x="177"/>
        <item x="249"/>
        <item x="199"/>
        <item x="102"/>
        <item x="166"/>
        <item x="315"/>
        <item x="220"/>
        <item x="127"/>
        <item x="29"/>
        <item x="100"/>
        <item x="26"/>
        <item x="16"/>
        <item x="5"/>
        <item x="133"/>
        <item x="157"/>
        <item x="278"/>
        <item x="54"/>
        <item x="198"/>
        <item x="181"/>
        <item x="58"/>
        <item x="113"/>
        <item x="257"/>
        <item x="240"/>
        <item x="9"/>
        <item x="212"/>
        <item x="149"/>
        <item x="95"/>
        <item x="160"/>
        <item x="214"/>
        <item x="192"/>
        <item x="259"/>
        <item x="301"/>
        <item x="34"/>
        <item x="209"/>
        <item x="130"/>
        <item x="143"/>
        <item x="107"/>
        <item x="193"/>
        <item x="228"/>
        <item x="276"/>
        <item x="97"/>
        <item x="145"/>
        <item x="264"/>
        <item x="169"/>
        <item x="197"/>
        <item x="122"/>
        <item x="304"/>
        <item x="179"/>
        <item x="305"/>
        <item x="185"/>
        <item x="61"/>
        <item x="162"/>
        <item x="186"/>
        <item x="138"/>
        <item x="137"/>
        <item x="320"/>
        <item x="141"/>
        <item x="294"/>
        <item x="274"/>
        <item x="57"/>
        <item x="207"/>
        <item x="187"/>
        <item x="94"/>
        <item x="302"/>
        <item x="98"/>
        <item x="142"/>
        <item x="219"/>
        <item x="32"/>
        <item x="188"/>
        <item x="255"/>
        <item x="223"/>
        <item x="15"/>
        <item x="3"/>
        <item x="120"/>
        <item x="47"/>
        <item x="11"/>
        <item x="18"/>
        <item x="25"/>
        <item x="93"/>
        <item x="46"/>
        <item x="267"/>
        <item x="227"/>
        <item x="159"/>
        <item x="50"/>
        <item x="48"/>
        <item x="194"/>
        <item x="105"/>
        <item x="299"/>
        <item x="112"/>
        <item x="0"/>
        <item x="268"/>
        <item x="163"/>
        <item x="243"/>
        <item x="221"/>
        <item x="176"/>
        <item x="245"/>
        <item x="65"/>
        <item x="27"/>
        <item x="180"/>
        <item x="232"/>
        <item x="6"/>
        <item x="35"/>
        <item x="314"/>
        <item x="203"/>
        <item x="293"/>
        <item x="14"/>
        <item x="168"/>
        <item x="204"/>
        <item x="111"/>
        <item x="173"/>
        <item x="205"/>
        <item x="92"/>
        <item x="19"/>
        <item x="269"/>
        <item x="36"/>
        <item x="307"/>
        <item x="79"/>
        <item x="184"/>
        <item x="13"/>
        <item x="195"/>
        <item x="261"/>
        <item x="86"/>
        <item x="287"/>
        <item x="155"/>
        <item x="151"/>
        <item x="297"/>
        <item x="104"/>
        <item x="178"/>
        <item x="71"/>
        <item x="282"/>
        <item x="118"/>
        <item x="284"/>
        <item x="312"/>
        <item x="215"/>
        <item x="39"/>
        <item x="288"/>
        <item x="216"/>
        <item x="59"/>
        <item x="53"/>
        <item x="83"/>
        <item x="211"/>
        <item x="279"/>
        <item x="230"/>
        <item x="306"/>
        <item x="303"/>
        <item x="271"/>
        <item x="316"/>
        <item x="253"/>
        <item x="74"/>
        <item x="292"/>
        <item x="119"/>
        <item x="55"/>
        <item x="153"/>
        <item x="311"/>
        <item x="43"/>
        <item x="101"/>
        <item x="146"/>
        <item x="238"/>
        <item x="124"/>
        <item x="135"/>
        <item x="131"/>
        <item x="224"/>
        <item x="40"/>
        <item x="175"/>
        <item x="66"/>
        <item x="313"/>
        <item x="89"/>
        <item x="150"/>
        <item x="45"/>
        <item x="283"/>
        <item x="250"/>
        <item x="308"/>
        <item x="165"/>
        <item x="123"/>
        <item x="222"/>
        <item x="258"/>
        <item x="62"/>
        <item x="242"/>
        <item x="88"/>
        <item x="310"/>
        <item x="167"/>
        <item x="309"/>
        <item x="24"/>
        <item x="234"/>
        <item x="152"/>
        <item x="201"/>
        <item x="87"/>
        <item x="2"/>
        <item x="191"/>
        <item x="70"/>
        <item x="109"/>
        <item x="128"/>
        <item x="41"/>
        <item x="67"/>
        <item x="233"/>
        <item x="30"/>
        <item x="226"/>
        <item x="296"/>
        <item x="1"/>
        <item x="208"/>
        <item x="68"/>
        <item x="110"/>
        <item x="73"/>
        <item x="12"/>
        <item x="52"/>
        <item x="75"/>
        <item x="161"/>
        <item x="51"/>
        <item x="298"/>
        <item x="182"/>
        <item x="134"/>
        <item x="218"/>
        <item x="171"/>
        <item x="266"/>
        <item x="108"/>
        <item x="172"/>
        <item x="117"/>
        <item x="244"/>
        <item x="241"/>
        <item x="247"/>
        <item x="121"/>
        <item x="17"/>
        <item x="22"/>
        <item x="10"/>
        <item x="237"/>
        <item x="206"/>
        <item x="196"/>
        <item x="31"/>
        <item x="60"/>
        <item x="189"/>
        <item x="33"/>
        <item x="164"/>
        <item x="318"/>
        <item x="183"/>
        <item x="140"/>
        <item x="158"/>
        <item x="28"/>
        <item x="64"/>
        <item x="8"/>
        <item x="285"/>
        <item x="275"/>
        <item x="156"/>
        <item x="82"/>
        <item x="291"/>
        <item x="265"/>
        <item x="4"/>
        <item x="272"/>
        <item x="49"/>
        <item x="260"/>
        <item x="290"/>
        <item x="20"/>
        <item x="319"/>
        <item x="213"/>
        <item x="125"/>
        <item x="78"/>
        <item x="251"/>
        <item x="84"/>
        <item x="44"/>
        <item x="225"/>
        <item x="154"/>
        <item x="81"/>
        <item x="289"/>
        <item x="99"/>
        <item x="21"/>
        <item t="default"/>
      </items>
    </pivotField>
    <pivotField numFmtId="14" showAll="0"/>
    <pivotField showAll="0">
      <items count="4">
        <item x="1"/>
        <item x="0"/>
        <item x="2"/>
        <item t="default"/>
      </items>
    </pivotField>
    <pivotField showAll="0"/>
    <pivotField showAll="0" defaultSubtotal="0"/>
    <pivotField showAll="0" defaultSubtotal="0">
      <items count="4">
        <item x="0"/>
        <item x="1"/>
        <item x="2"/>
        <item x="3"/>
      </items>
    </pivotField>
  </pivotFields>
  <rowFields count="1">
    <field x="2"/>
  </rowFields>
  <rowItems count="5">
    <i>
      <x v="1"/>
    </i>
    <i>
      <x v="2"/>
    </i>
    <i>
      <x/>
    </i>
    <i>
      <x v="3"/>
    </i>
    <i t="grand">
      <x/>
    </i>
  </rowItems>
  <colItems count="1">
    <i/>
  </colItems>
  <dataFields count="1">
    <dataField name="Average of Unit Price" fld="5" subtotal="average" baseField="0" baseItem="0" numFmtId="16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58C551E-7726-924D-85D0-A93792E8287D}" sourceName="Supplier">
  <pivotTables>
    <pivotTable tabId="3" name="Monthly Purchases"/>
    <pivotTable tabId="3" name="Average Unit Price by Category"/>
    <pivotTable tabId="3" name="Inventory by Category"/>
    <pivotTable tabId="3" name="Inventory Value by Warehouse"/>
    <pivotTable tabId="3" name="Reorder Level Analysis"/>
    <pivotTable tabId="3" name="Stock Status"/>
    <pivotTable tabId="3" name="Supplier Contribution"/>
    <pivotTable tabId="3" name="Top 10 Highest Value Products"/>
    <pivotTable tabId="3" name="Total Quantity by Warehouse"/>
  </pivotTables>
  <data>
    <tabular pivotCacheId="1841548984">
      <items count="6">
        <i x="2" s="1"/>
        <i x="5"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065603-8639-0549-99ED-E02E1C4B9702}" sourceName="Category">
  <pivotTables>
    <pivotTable tabId="3" name="Monthly Purchases"/>
    <pivotTable tabId="3" name="Average Unit Price by Category"/>
    <pivotTable tabId="3" name="Inventory by Category"/>
    <pivotTable tabId="3" name="Inventory Value by Warehouse"/>
    <pivotTable tabId="3" name="Reorder Level Analysis"/>
    <pivotTable tabId="3" name="Stock Status"/>
    <pivotTable tabId="3" name="Supplier Contribution"/>
    <pivotTable tabId="3" name="Top 10 Highest Value Products"/>
    <pivotTable tabId="3" name="Total Quantity by Warehouse"/>
  </pivotTables>
  <data>
    <tabular pivotCacheId="184154898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8648C265-C999-734B-B9FE-ECCB230B9690}" sourceName="Warehouse">
  <pivotTables>
    <pivotTable tabId="3" name="Monthly Purchases"/>
    <pivotTable tabId="3" name="Average Unit Price by Category"/>
    <pivotTable tabId="3" name="Inventory by Category"/>
    <pivotTable tabId="3" name="Inventory Value by Warehouse"/>
    <pivotTable tabId="3" name="Reorder Level Analysis"/>
    <pivotTable tabId="3" name="Stock Status"/>
    <pivotTable tabId="3" name="Supplier Contribution"/>
    <pivotTable tabId="3" name="Top 10 Highest Value Products"/>
    <pivotTable tabId="3" name="Total Quantity by Warehouse"/>
  </pivotTables>
  <data>
    <tabular pivotCacheId="184154898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D44F857-6F84-DF45-92E1-943A72719563}" sourceName="Status">
  <pivotTables>
    <pivotTable tabId="3" name="Monthly Purchases"/>
    <pivotTable tabId="3" name="Average Unit Price by Category"/>
    <pivotTable tabId="3" name="Inventory by Category"/>
    <pivotTable tabId="3" name="Inventory Value by Warehouse"/>
    <pivotTable tabId="3" name="Reorder Level Analysis"/>
    <pivotTable tabId="3" name="Stock Status"/>
    <pivotTable tabId="3" name="Supplier Contribution"/>
    <pivotTable tabId="3" name="Top 10 Highest Value Products"/>
    <pivotTable tabId="3" name="Total Quantity by Warehouse"/>
  </pivotTables>
  <data>
    <tabular pivotCacheId="184154898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892E10CD-F89A-694C-8FA6-ABC6A118057D}" cache="Slicer_Supplier" caption="Supplier" rowHeight="251883"/>
  <slicer name="Category" xr10:uid="{15D4DEF0-AA65-FD43-9B3D-35320CAADD69}" cache="Slicer_Category" caption="Category" rowHeight="251883"/>
  <slicer name="Warehouse" xr10:uid="{30CF65EF-D414-294E-8397-13A7D2B8E2A7}" cache="Slicer_Warehouse" caption="Warehouse" rowHeight="251883"/>
  <slicer name="Status" xr10:uid="{44FFE977-6729-7A42-89DC-81F1F31A3BA9}" cache="Slicer_Status" caption="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09DAF-5D9F-3A46-918B-CCD1C115B578}" name="tblInventory" displayName="tblInventory" ref="A1:M501" totalsRowShown="0">
  <autoFilter ref="A1:M501" xr:uid="{1AA09DAF-5D9F-3A46-918B-CCD1C115B578}"/>
  <tableColumns count="13">
    <tableColumn id="1" xr3:uid="{FA1494A7-74B0-7343-A6F7-AAF78E0952FF}" name="Product ID"/>
    <tableColumn id="2" xr3:uid="{B134520A-95F8-AE40-BFFA-CA5E962753A5}" name="Product Name"/>
    <tableColumn id="3" xr3:uid="{1B18F806-9A56-D948-8369-3A542B930F6A}" name="Category"/>
    <tableColumn id="4" xr3:uid="{1423CD24-C02A-A845-8114-405F8CBF699D}" name="Supplier"/>
    <tableColumn id="5" xr3:uid="{0FA09E8D-19DF-D845-B5EF-20B1E307F920}" name="Unit Cost"/>
    <tableColumn id="6" xr3:uid="{AFFF1ADE-C082-1440-96A6-52C67D6E7F57}" name="Unit Price"/>
    <tableColumn id="7" xr3:uid="{DF12AF6D-6F12-0F4C-87E4-4070D17C4E32}" name="Quantity in Stock"/>
    <tableColumn id="8" xr3:uid="{79C8D6AD-8FE7-514C-A21E-6CFEEAE5829F}" name="Reorder Level"/>
    <tableColumn id="9" xr3:uid="{50827BDC-148B-2744-B999-6858CA7E0797}" name="Warehouse"/>
    <tableColumn id="10" xr3:uid="{296DF1E1-64AF-FD44-84C0-AD84EF058FD6}" name="Purchase Date" dataDxfId="18"/>
    <tableColumn id="11" xr3:uid="{FD04A27F-12E7-954C-8B4D-3C216532DB8E}" name="Last Restocked" dataDxfId="17"/>
    <tableColumn id="12" xr3:uid="{0A90853F-76BF-7A4D-AE20-E2B0933D9003}" name="Status"/>
    <tableColumn id="16" xr3:uid="{7DA97ED0-4B3B-4D41-A93F-B5047E901638}" name="Inventory Value" dataDxfId="16">
      <calculatedColumnFormula>tblInventory[[#This Row],[Unit Cost]]*tblInventory[[#This Row],[Quantity in Stock]]</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4AFD-A918-8C4B-BB12-87EEC799BE65}">
  <dimension ref="A1:M501"/>
  <sheetViews>
    <sheetView topLeftCell="A2" workbookViewId="0">
      <selection activeCell="A5" sqref="A5"/>
    </sheetView>
  </sheetViews>
  <sheetFormatPr baseColWidth="10" defaultRowHeight="16" x14ac:dyDescent="0.2"/>
  <cols>
    <col min="1" max="1" width="12.1640625" customWidth="1"/>
    <col min="2" max="2" width="15.33203125" customWidth="1"/>
    <col min="3" max="3" width="13.1640625" customWidth="1"/>
    <col min="4" max="4" width="18.1640625" customWidth="1"/>
    <col min="5" max="5" width="11.1640625" customWidth="1"/>
    <col min="6" max="6" width="11.5" customWidth="1"/>
    <col min="7" max="7" width="17.33203125" customWidth="1"/>
    <col min="8" max="8" width="14.6640625" customWidth="1"/>
    <col min="9" max="9" width="12.83203125" customWidth="1"/>
    <col min="10" max="10" width="15.6640625" customWidth="1"/>
    <col min="11" max="11" width="16.33203125" customWidth="1"/>
    <col min="13" max="13" width="16.1640625" customWidth="1"/>
  </cols>
  <sheetData>
    <row r="1" spans="1:13" x14ac:dyDescent="0.2">
      <c r="A1" t="s">
        <v>0</v>
      </c>
      <c r="B1" t="s">
        <v>1</v>
      </c>
      <c r="C1" t="s">
        <v>2</v>
      </c>
      <c r="D1" t="s">
        <v>3</v>
      </c>
      <c r="E1" t="s">
        <v>4</v>
      </c>
      <c r="F1" t="s">
        <v>5</v>
      </c>
      <c r="G1" t="s">
        <v>6</v>
      </c>
      <c r="H1" t="s">
        <v>7</v>
      </c>
      <c r="I1" t="s">
        <v>8</v>
      </c>
      <c r="J1" t="s">
        <v>9</v>
      </c>
      <c r="K1" t="s">
        <v>10</v>
      </c>
      <c r="L1" t="s">
        <v>11</v>
      </c>
      <c r="M1" t="s">
        <v>553</v>
      </c>
    </row>
    <row r="2" spans="1:13" x14ac:dyDescent="0.2">
      <c r="A2" t="s">
        <v>12</v>
      </c>
      <c r="B2" t="s">
        <v>13</v>
      </c>
      <c r="C2" t="s">
        <v>14</v>
      </c>
      <c r="D2" t="s">
        <v>15</v>
      </c>
      <c r="E2">
        <v>365</v>
      </c>
      <c r="F2">
        <v>547.5</v>
      </c>
      <c r="G2">
        <v>11</v>
      </c>
      <c r="H2">
        <v>25</v>
      </c>
      <c r="I2" t="s">
        <v>16</v>
      </c>
      <c r="J2" s="1">
        <v>45898</v>
      </c>
      <c r="K2" s="1">
        <v>45967</v>
      </c>
      <c r="L2" t="s">
        <v>17</v>
      </c>
      <c r="M2">
        <f>tblInventory[[#This Row],[Unit Cost]]*tblInventory[[#This Row],[Quantity in Stock]]</f>
        <v>4015</v>
      </c>
    </row>
    <row r="3" spans="1:13" x14ac:dyDescent="0.2">
      <c r="A3" t="s">
        <v>18</v>
      </c>
      <c r="B3" t="s">
        <v>13</v>
      </c>
      <c r="C3" t="s">
        <v>14</v>
      </c>
      <c r="D3" t="s">
        <v>19</v>
      </c>
      <c r="E3">
        <v>562</v>
      </c>
      <c r="F3">
        <v>843</v>
      </c>
      <c r="G3">
        <v>5</v>
      </c>
      <c r="H3">
        <v>25</v>
      </c>
      <c r="I3" t="s">
        <v>16</v>
      </c>
      <c r="J3" s="1">
        <v>46086</v>
      </c>
      <c r="K3" s="1">
        <v>46138</v>
      </c>
      <c r="L3" t="s">
        <v>17</v>
      </c>
      <c r="M3">
        <f>tblInventory[[#This Row],[Unit Cost]]*tblInventory[[#This Row],[Quantity in Stock]]</f>
        <v>2810</v>
      </c>
    </row>
    <row r="4" spans="1:13" x14ac:dyDescent="0.2">
      <c r="A4" t="s">
        <v>20</v>
      </c>
      <c r="B4" t="s">
        <v>21</v>
      </c>
      <c r="C4" t="s">
        <v>22</v>
      </c>
      <c r="D4" t="s">
        <v>19</v>
      </c>
      <c r="E4">
        <v>22</v>
      </c>
      <c r="F4">
        <v>28.6</v>
      </c>
      <c r="G4">
        <v>257</v>
      </c>
      <c r="H4">
        <v>10</v>
      </c>
      <c r="I4" t="s">
        <v>16</v>
      </c>
      <c r="J4" s="1">
        <v>46067</v>
      </c>
      <c r="K4" s="1">
        <v>46133</v>
      </c>
      <c r="L4" t="s">
        <v>23</v>
      </c>
      <c r="M4">
        <f>tblInventory[[#This Row],[Unit Cost]]*tblInventory[[#This Row],[Quantity in Stock]]</f>
        <v>5654</v>
      </c>
    </row>
    <row r="5" spans="1:13" x14ac:dyDescent="0.2">
      <c r="A5" t="s">
        <v>24</v>
      </c>
      <c r="B5" t="s">
        <v>25</v>
      </c>
      <c r="C5" t="s">
        <v>14</v>
      </c>
      <c r="D5" t="s">
        <v>26</v>
      </c>
      <c r="E5">
        <v>140</v>
      </c>
      <c r="F5">
        <v>196</v>
      </c>
      <c r="G5">
        <v>219</v>
      </c>
      <c r="H5">
        <v>40</v>
      </c>
      <c r="I5" t="s">
        <v>16</v>
      </c>
      <c r="J5" s="1">
        <v>45869</v>
      </c>
      <c r="K5" s="1">
        <v>45894</v>
      </c>
      <c r="L5" t="s">
        <v>23</v>
      </c>
      <c r="M5">
        <f>tblInventory[[#This Row],[Unit Cost]]*tblInventory[[#This Row],[Quantity in Stock]]</f>
        <v>30660</v>
      </c>
    </row>
    <row r="6" spans="1:13" x14ac:dyDescent="0.2">
      <c r="A6" t="s">
        <v>27</v>
      </c>
      <c r="B6" t="s">
        <v>28</v>
      </c>
      <c r="C6" t="s">
        <v>29</v>
      </c>
      <c r="D6" t="s">
        <v>30</v>
      </c>
      <c r="E6">
        <v>295</v>
      </c>
      <c r="F6">
        <v>354</v>
      </c>
      <c r="G6">
        <v>83</v>
      </c>
      <c r="H6">
        <v>50</v>
      </c>
      <c r="I6" t="s">
        <v>31</v>
      </c>
      <c r="J6" s="1">
        <v>46157</v>
      </c>
      <c r="K6" s="1">
        <v>46216</v>
      </c>
      <c r="L6" t="s">
        <v>23</v>
      </c>
      <c r="M6">
        <f>tblInventory[[#This Row],[Unit Cost]]*tblInventory[[#This Row],[Quantity in Stock]]</f>
        <v>24485</v>
      </c>
    </row>
    <row r="7" spans="1:13" x14ac:dyDescent="0.2">
      <c r="A7" t="s">
        <v>32</v>
      </c>
      <c r="B7" t="s">
        <v>33</v>
      </c>
      <c r="C7" t="s">
        <v>34</v>
      </c>
      <c r="D7" t="s">
        <v>35</v>
      </c>
      <c r="E7">
        <v>473</v>
      </c>
      <c r="F7">
        <v>662.2</v>
      </c>
      <c r="G7">
        <v>17</v>
      </c>
      <c r="H7">
        <v>40</v>
      </c>
      <c r="I7" t="s">
        <v>31</v>
      </c>
      <c r="J7" s="1">
        <v>45773</v>
      </c>
      <c r="K7" s="1">
        <v>45837</v>
      </c>
      <c r="L7" t="s">
        <v>17</v>
      </c>
      <c r="M7">
        <f>tblInventory[[#This Row],[Unit Cost]]*tblInventory[[#This Row],[Quantity in Stock]]</f>
        <v>8041</v>
      </c>
    </row>
    <row r="8" spans="1:13" x14ac:dyDescent="0.2">
      <c r="A8" t="s">
        <v>36</v>
      </c>
      <c r="B8" t="s">
        <v>37</v>
      </c>
      <c r="C8" t="s">
        <v>22</v>
      </c>
      <c r="D8" t="s">
        <v>26</v>
      </c>
      <c r="E8">
        <v>148</v>
      </c>
      <c r="F8">
        <v>177.6</v>
      </c>
      <c r="G8">
        <v>246</v>
      </c>
      <c r="H8">
        <v>10</v>
      </c>
      <c r="I8" t="s">
        <v>31</v>
      </c>
      <c r="J8" s="1">
        <v>45927</v>
      </c>
      <c r="K8" s="1">
        <v>45949</v>
      </c>
      <c r="L8" t="s">
        <v>23</v>
      </c>
      <c r="M8">
        <f>tblInventory[[#This Row],[Unit Cost]]*tblInventory[[#This Row],[Quantity in Stock]]</f>
        <v>36408</v>
      </c>
    </row>
    <row r="9" spans="1:13" x14ac:dyDescent="0.2">
      <c r="A9" t="s">
        <v>38</v>
      </c>
      <c r="B9" t="s">
        <v>25</v>
      </c>
      <c r="C9" t="s">
        <v>14</v>
      </c>
      <c r="D9" t="s">
        <v>35</v>
      </c>
      <c r="E9">
        <v>213</v>
      </c>
      <c r="F9">
        <v>255.6</v>
      </c>
      <c r="G9">
        <v>58</v>
      </c>
      <c r="H9">
        <v>50</v>
      </c>
      <c r="I9" t="s">
        <v>31</v>
      </c>
      <c r="J9" s="1">
        <v>45730</v>
      </c>
      <c r="K9" s="1">
        <v>45767</v>
      </c>
      <c r="L9" t="s">
        <v>23</v>
      </c>
      <c r="M9">
        <f>tblInventory[[#This Row],[Unit Cost]]*tblInventory[[#This Row],[Quantity in Stock]]</f>
        <v>12354</v>
      </c>
    </row>
    <row r="10" spans="1:13" x14ac:dyDescent="0.2">
      <c r="A10" t="s">
        <v>39</v>
      </c>
      <c r="B10" t="s">
        <v>25</v>
      </c>
      <c r="C10" t="s">
        <v>14</v>
      </c>
      <c r="D10" t="s">
        <v>40</v>
      </c>
      <c r="E10">
        <v>210</v>
      </c>
      <c r="F10">
        <v>273</v>
      </c>
      <c r="G10">
        <v>86</v>
      </c>
      <c r="H10">
        <v>40</v>
      </c>
      <c r="I10" t="s">
        <v>16</v>
      </c>
      <c r="J10" s="1">
        <v>46143</v>
      </c>
      <c r="K10" s="1">
        <v>46199</v>
      </c>
      <c r="L10" t="s">
        <v>23</v>
      </c>
      <c r="M10">
        <f>tblInventory[[#This Row],[Unit Cost]]*tblInventory[[#This Row],[Quantity in Stock]]</f>
        <v>18060</v>
      </c>
    </row>
    <row r="11" spans="1:13" x14ac:dyDescent="0.2">
      <c r="A11" t="s">
        <v>41</v>
      </c>
      <c r="B11" t="s">
        <v>42</v>
      </c>
      <c r="C11" t="s">
        <v>34</v>
      </c>
      <c r="D11" t="s">
        <v>19</v>
      </c>
      <c r="E11">
        <v>654</v>
      </c>
      <c r="F11">
        <v>981</v>
      </c>
      <c r="G11">
        <v>5</v>
      </c>
      <c r="H11">
        <v>30</v>
      </c>
      <c r="I11" t="s">
        <v>43</v>
      </c>
      <c r="J11" s="1">
        <v>45788</v>
      </c>
      <c r="K11" s="1">
        <v>45869</v>
      </c>
      <c r="L11" t="s">
        <v>17</v>
      </c>
      <c r="M11">
        <f>tblInventory[[#This Row],[Unit Cost]]*tblInventory[[#This Row],[Quantity in Stock]]</f>
        <v>3270</v>
      </c>
    </row>
    <row r="12" spans="1:13" x14ac:dyDescent="0.2">
      <c r="A12" t="s">
        <v>44</v>
      </c>
      <c r="B12" t="s">
        <v>25</v>
      </c>
      <c r="C12" t="s">
        <v>14</v>
      </c>
      <c r="D12" t="s">
        <v>30</v>
      </c>
      <c r="E12">
        <v>240</v>
      </c>
      <c r="F12">
        <v>288</v>
      </c>
      <c r="G12">
        <v>154</v>
      </c>
      <c r="H12">
        <v>40</v>
      </c>
      <c r="I12" t="s">
        <v>43</v>
      </c>
      <c r="J12" s="1">
        <v>46121</v>
      </c>
      <c r="K12" s="1">
        <v>46132</v>
      </c>
      <c r="L12" t="s">
        <v>23</v>
      </c>
      <c r="M12">
        <f>tblInventory[[#This Row],[Unit Cost]]*tblInventory[[#This Row],[Quantity in Stock]]</f>
        <v>36960</v>
      </c>
    </row>
    <row r="13" spans="1:13" x14ac:dyDescent="0.2">
      <c r="A13" t="s">
        <v>45</v>
      </c>
      <c r="B13" t="s">
        <v>46</v>
      </c>
      <c r="C13" t="s">
        <v>14</v>
      </c>
      <c r="D13" t="s">
        <v>35</v>
      </c>
      <c r="E13">
        <v>409</v>
      </c>
      <c r="F13">
        <v>613.5</v>
      </c>
      <c r="G13">
        <v>222</v>
      </c>
      <c r="H13">
        <v>10</v>
      </c>
      <c r="I13" t="s">
        <v>31</v>
      </c>
      <c r="J13" s="1">
        <v>45875</v>
      </c>
      <c r="K13" s="1">
        <v>45914</v>
      </c>
      <c r="L13" t="s">
        <v>23</v>
      </c>
      <c r="M13">
        <f>tblInventory[[#This Row],[Unit Cost]]*tblInventory[[#This Row],[Quantity in Stock]]</f>
        <v>90798</v>
      </c>
    </row>
    <row r="14" spans="1:13" x14ac:dyDescent="0.2">
      <c r="A14" t="s">
        <v>47</v>
      </c>
      <c r="B14" t="s">
        <v>48</v>
      </c>
      <c r="C14" t="s">
        <v>14</v>
      </c>
      <c r="D14" t="s">
        <v>15</v>
      </c>
      <c r="E14">
        <v>634</v>
      </c>
      <c r="F14">
        <v>951</v>
      </c>
      <c r="G14">
        <v>96</v>
      </c>
      <c r="H14">
        <v>15</v>
      </c>
      <c r="I14" t="s">
        <v>43</v>
      </c>
      <c r="J14" s="1">
        <v>46093</v>
      </c>
      <c r="K14" s="1">
        <v>46130</v>
      </c>
      <c r="L14" t="s">
        <v>23</v>
      </c>
      <c r="M14">
        <f>tblInventory[[#This Row],[Unit Cost]]*tblInventory[[#This Row],[Quantity in Stock]]</f>
        <v>60864</v>
      </c>
    </row>
    <row r="15" spans="1:13" x14ac:dyDescent="0.2">
      <c r="A15" t="s">
        <v>49</v>
      </c>
      <c r="B15" t="s">
        <v>50</v>
      </c>
      <c r="C15" t="s">
        <v>34</v>
      </c>
      <c r="D15" t="s">
        <v>35</v>
      </c>
      <c r="E15">
        <v>197</v>
      </c>
      <c r="F15">
        <v>295.5</v>
      </c>
      <c r="G15">
        <v>107</v>
      </c>
      <c r="H15">
        <v>10</v>
      </c>
      <c r="I15" t="s">
        <v>43</v>
      </c>
      <c r="J15" s="1">
        <v>45958</v>
      </c>
      <c r="K15" s="1">
        <v>46025</v>
      </c>
      <c r="L15" t="s">
        <v>23</v>
      </c>
      <c r="M15">
        <f>tblInventory[[#This Row],[Unit Cost]]*tblInventory[[#This Row],[Quantity in Stock]]</f>
        <v>21079</v>
      </c>
    </row>
    <row r="16" spans="1:13" x14ac:dyDescent="0.2">
      <c r="A16" t="s">
        <v>51</v>
      </c>
      <c r="B16" t="s">
        <v>52</v>
      </c>
      <c r="C16" t="s">
        <v>22</v>
      </c>
      <c r="D16" t="s">
        <v>15</v>
      </c>
      <c r="E16">
        <v>154</v>
      </c>
      <c r="F16">
        <v>200.2</v>
      </c>
      <c r="G16">
        <v>227</v>
      </c>
      <c r="H16">
        <v>15</v>
      </c>
      <c r="I16" t="s">
        <v>43</v>
      </c>
      <c r="J16" s="1">
        <v>45939</v>
      </c>
      <c r="K16" s="1">
        <v>45999</v>
      </c>
      <c r="L16" t="s">
        <v>23</v>
      </c>
      <c r="M16">
        <f>tblInventory[[#This Row],[Unit Cost]]*tblInventory[[#This Row],[Quantity in Stock]]</f>
        <v>34958</v>
      </c>
    </row>
    <row r="17" spans="1:13" x14ac:dyDescent="0.2">
      <c r="A17" t="s">
        <v>53</v>
      </c>
      <c r="B17" t="s">
        <v>13</v>
      </c>
      <c r="C17" t="s">
        <v>14</v>
      </c>
      <c r="D17" t="s">
        <v>26</v>
      </c>
      <c r="E17">
        <v>677</v>
      </c>
      <c r="F17">
        <v>880.1</v>
      </c>
      <c r="G17">
        <v>202</v>
      </c>
      <c r="H17">
        <v>40</v>
      </c>
      <c r="I17" t="s">
        <v>16</v>
      </c>
      <c r="J17" s="1">
        <v>45868</v>
      </c>
      <c r="K17" s="1">
        <v>45945</v>
      </c>
      <c r="L17" t="s">
        <v>23</v>
      </c>
      <c r="M17">
        <f>tblInventory[[#This Row],[Unit Cost]]*tblInventory[[#This Row],[Quantity in Stock]]</f>
        <v>136754</v>
      </c>
    </row>
    <row r="18" spans="1:13" x14ac:dyDescent="0.2">
      <c r="A18" t="s">
        <v>54</v>
      </c>
      <c r="B18" t="s">
        <v>21</v>
      </c>
      <c r="C18" t="s">
        <v>22</v>
      </c>
      <c r="D18" t="s">
        <v>40</v>
      </c>
      <c r="E18">
        <v>314</v>
      </c>
      <c r="F18">
        <v>408.2</v>
      </c>
      <c r="G18">
        <v>224</v>
      </c>
      <c r="H18">
        <v>30</v>
      </c>
      <c r="I18" t="s">
        <v>43</v>
      </c>
      <c r="J18" s="1">
        <v>45772</v>
      </c>
      <c r="K18" s="1">
        <v>45825</v>
      </c>
      <c r="L18" t="s">
        <v>23</v>
      </c>
      <c r="M18">
        <f>tblInventory[[#This Row],[Unit Cost]]*tblInventory[[#This Row],[Quantity in Stock]]</f>
        <v>70336</v>
      </c>
    </row>
    <row r="19" spans="1:13" x14ac:dyDescent="0.2">
      <c r="A19" t="s">
        <v>55</v>
      </c>
      <c r="B19" t="s">
        <v>48</v>
      </c>
      <c r="C19" t="s">
        <v>14</v>
      </c>
      <c r="D19" t="s">
        <v>40</v>
      </c>
      <c r="E19">
        <v>253</v>
      </c>
      <c r="F19">
        <v>328.9</v>
      </c>
      <c r="G19">
        <v>230</v>
      </c>
      <c r="H19">
        <v>30</v>
      </c>
      <c r="I19" t="s">
        <v>43</v>
      </c>
      <c r="J19" s="1">
        <v>46118</v>
      </c>
      <c r="K19" s="1">
        <v>46186</v>
      </c>
      <c r="L19" t="s">
        <v>23</v>
      </c>
      <c r="M19">
        <f>tblInventory[[#This Row],[Unit Cost]]*tblInventory[[#This Row],[Quantity in Stock]]</f>
        <v>58190</v>
      </c>
    </row>
    <row r="20" spans="1:13" x14ac:dyDescent="0.2">
      <c r="A20" t="s">
        <v>56</v>
      </c>
      <c r="B20" t="s">
        <v>57</v>
      </c>
      <c r="C20" t="s">
        <v>29</v>
      </c>
      <c r="D20" t="s">
        <v>35</v>
      </c>
      <c r="E20">
        <v>643</v>
      </c>
      <c r="F20">
        <v>964.5</v>
      </c>
      <c r="G20">
        <v>197</v>
      </c>
      <c r="H20">
        <v>40</v>
      </c>
      <c r="I20" t="s">
        <v>31</v>
      </c>
      <c r="J20" s="1">
        <v>45927</v>
      </c>
      <c r="K20" s="1">
        <v>45933</v>
      </c>
      <c r="L20" t="s">
        <v>23</v>
      </c>
      <c r="M20">
        <f>tblInventory[[#This Row],[Unit Cost]]*tblInventory[[#This Row],[Quantity in Stock]]</f>
        <v>126671</v>
      </c>
    </row>
    <row r="21" spans="1:13" x14ac:dyDescent="0.2">
      <c r="A21" t="s">
        <v>58</v>
      </c>
      <c r="B21" t="s">
        <v>46</v>
      </c>
      <c r="C21" t="s">
        <v>14</v>
      </c>
      <c r="D21" t="s">
        <v>19</v>
      </c>
      <c r="E21">
        <v>328</v>
      </c>
      <c r="F21">
        <v>459.2</v>
      </c>
      <c r="G21">
        <v>42</v>
      </c>
      <c r="H21">
        <v>15</v>
      </c>
      <c r="I21" t="s">
        <v>16</v>
      </c>
      <c r="J21" s="1">
        <v>45876</v>
      </c>
      <c r="K21" s="1">
        <v>45939</v>
      </c>
      <c r="L21" t="s">
        <v>23</v>
      </c>
      <c r="M21">
        <f>tblInventory[[#This Row],[Unit Cost]]*tblInventory[[#This Row],[Quantity in Stock]]</f>
        <v>13776</v>
      </c>
    </row>
    <row r="22" spans="1:13" x14ac:dyDescent="0.2">
      <c r="A22" t="s">
        <v>59</v>
      </c>
      <c r="B22" t="s">
        <v>60</v>
      </c>
      <c r="C22" t="s">
        <v>34</v>
      </c>
      <c r="D22" t="s">
        <v>30</v>
      </c>
      <c r="E22">
        <v>107</v>
      </c>
      <c r="F22">
        <v>160.5</v>
      </c>
      <c r="G22">
        <v>261</v>
      </c>
      <c r="H22">
        <v>50</v>
      </c>
      <c r="I22" t="s">
        <v>31</v>
      </c>
      <c r="J22" s="1">
        <v>45950</v>
      </c>
      <c r="K22" s="1">
        <v>45961</v>
      </c>
      <c r="L22" t="s">
        <v>23</v>
      </c>
      <c r="M22">
        <f>tblInventory[[#This Row],[Unit Cost]]*tblInventory[[#This Row],[Quantity in Stock]]</f>
        <v>27927</v>
      </c>
    </row>
    <row r="23" spans="1:13" x14ac:dyDescent="0.2">
      <c r="A23" t="s">
        <v>61</v>
      </c>
      <c r="B23" t="s">
        <v>52</v>
      </c>
      <c r="C23" t="s">
        <v>22</v>
      </c>
      <c r="D23" t="s">
        <v>19</v>
      </c>
      <c r="E23">
        <v>21</v>
      </c>
      <c r="F23">
        <v>31.5</v>
      </c>
      <c r="G23">
        <v>291</v>
      </c>
      <c r="H23">
        <v>40</v>
      </c>
      <c r="I23" t="s">
        <v>16</v>
      </c>
      <c r="J23" s="1">
        <v>46164</v>
      </c>
      <c r="K23" s="1">
        <v>46175</v>
      </c>
      <c r="L23" t="s">
        <v>23</v>
      </c>
      <c r="M23">
        <f>tblInventory[[#This Row],[Unit Cost]]*tblInventory[[#This Row],[Quantity in Stock]]</f>
        <v>6111</v>
      </c>
    </row>
    <row r="24" spans="1:13" x14ac:dyDescent="0.2">
      <c r="A24" t="s">
        <v>62</v>
      </c>
      <c r="B24" t="s">
        <v>63</v>
      </c>
      <c r="C24" t="s">
        <v>22</v>
      </c>
      <c r="D24" t="s">
        <v>15</v>
      </c>
      <c r="E24">
        <v>113</v>
      </c>
      <c r="F24">
        <v>158.19999999999999</v>
      </c>
      <c r="G24">
        <v>32</v>
      </c>
      <c r="H24">
        <v>30</v>
      </c>
      <c r="I24" t="s">
        <v>43</v>
      </c>
      <c r="J24" s="1">
        <v>46193</v>
      </c>
      <c r="K24" s="1">
        <v>46193</v>
      </c>
      <c r="L24" t="s">
        <v>23</v>
      </c>
      <c r="M24">
        <f>tblInventory[[#This Row],[Unit Cost]]*tblInventory[[#This Row],[Quantity in Stock]]</f>
        <v>3616</v>
      </c>
    </row>
    <row r="25" spans="1:13" x14ac:dyDescent="0.2">
      <c r="A25" t="s">
        <v>64</v>
      </c>
      <c r="B25" t="s">
        <v>65</v>
      </c>
      <c r="C25" t="s">
        <v>22</v>
      </c>
      <c r="D25" t="s">
        <v>30</v>
      </c>
      <c r="E25">
        <v>347</v>
      </c>
      <c r="F25">
        <v>451.1</v>
      </c>
      <c r="G25">
        <v>212</v>
      </c>
      <c r="H25">
        <v>15</v>
      </c>
      <c r="I25" t="s">
        <v>16</v>
      </c>
      <c r="J25" s="1">
        <v>46120</v>
      </c>
      <c r="K25" s="1">
        <v>46197</v>
      </c>
      <c r="L25" t="s">
        <v>23</v>
      </c>
      <c r="M25">
        <f>tblInventory[[#This Row],[Unit Cost]]*tblInventory[[#This Row],[Quantity in Stock]]</f>
        <v>73564</v>
      </c>
    </row>
    <row r="26" spans="1:13" x14ac:dyDescent="0.2">
      <c r="A26" t="s">
        <v>66</v>
      </c>
      <c r="B26" t="s">
        <v>25</v>
      </c>
      <c r="C26" t="s">
        <v>14</v>
      </c>
      <c r="D26" t="s">
        <v>40</v>
      </c>
      <c r="E26">
        <v>478</v>
      </c>
      <c r="F26">
        <v>669.2</v>
      </c>
      <c r="G26">
        <v>197</v>
      </c>
      <c r="H26">
        <v>25</v>
      </c>
      <c r="I26" t="s">
        <v>16</v>
      </c>
      <c r="J26" s="1">
        <v>45682</v>
      </c>
      <c r="K26" s="1">
        <v>45702</v>
      </c>
      <c r="L26" t="s">
        <v>23</v>
      </c>
      <c r="M26">
        <f>tblInventory[[#This Row],[Unit Cost]]*tblInventory[[#This Row],[Quantity in Stock]]</f>
        <v>94166</v>
      </c>
    </row>
    <row r="27" spans="1:13" x14ac:dyDescent="0.2">
      <c r="A27" t="s">
        <v>67</v>
      </c>
      <c r="B27" t="s">
        <v>68</v>
      </c>
      <c r="C27" t="s">
        <v>34</v>
      </c>
      <c r="D27" t="s">
        <v>26</v>
      </c>
      <c r="E27">
        <v>565</v>
      </c>
      <c r="F27">
        <v>734.5</v>
      </c>
      <c r="G27">
        <v>170</v>
      </c>
      <c r="H27">
        <v>20</v>
      </c>
      <c r="I27" t="s">
        <v>31</v>
      </c>
      <c r="J27" s="1">
        <v>46061</v>
      </c>
      <c r="K27" s="1">
        <v>46099</v>
      </c>
      <c r="L27" t="s">
        <v>23</v>
      </c>
      <c r="M27">
        <f>tblInventory[[#This Row],[Unit Cost]]*tblInventory[[#This Row],[Quantity in Stock]]</f>
        <v>96050</v>
      </c>
    </row>
    <row r="28" spans="1:13" x14ac:dyDescent="0.2">
      <c r="A28" t="s">
        <v>69</v>
      </c>
      <c r="B28" t="s">
        <v>70</v>
      </c>
      <c r="C28" t="s">
        <v>14</v>
      </c>
      <c r="D28" t="s">
        <v>19</v>
      </c>
      <c r="E28">
        <v>89</v>
      </c>
      <c r="F28">
        <v>106.8</v>
      </c>
      <c r="G28">
        <v>225</v>
      </c>
      <c r="H28">
        <v>10</v>
      </c>
      <c r="I28" t="s">
        <v>31</v>
      </c>
      <c r="J28" s="1">
        <v>45877</v>
      </c>
      <c r="K28" s="1">
        <v>45893</v>
      </c>
      <c r="L28" t="s">
        <v>23</v>
      </c>
      <c r="M28">
        <f>tblInventory[[#This Row],[Unit Cost]]*tblInventory[[#This Row],[Quantity in Stock]]</f>
        <v>20025</v>
      </c>
    </row>
    <row r="29" spans="1:13" x14ac:dyDescent="0.2">
      <c r="A29" t="s">
        <v>71</v>
      </c>
      <c r="B29" t="s">
        <v>28</v>
      </c>
      <c r="C29" t="s">
        <v>29</v>
      </c>
      <c r="D29" t="s">
        <v>40</v>
      </c>
      <c r="E29">
        <v>92</v>
      </c>
      <c r="F29">
        <v>110.4</v>
      </c>
      <c r="G29">
        <v>135</v>
      </c>
      <c r="H29">
        <v>40</v>
      </c>
      <c r="I29" t="s">
        <v>16</v>
      </c>
      <c r="J29" s="1">
        <v>45771</v>
      </c>
      <c r="K29" s="1">
        <v>45838</v>
      </c>
      <c r="L29" t="s">
        <v>23</v>
      </c>
      <c r="M29">
        <f>tblInventory[[#This Row],[Unit Cost]]*tblInventory[[#This Row],[Quantity in Stock]]</f>
        <v>12420</v>
      </c>
    </row>
    <row r="30" spans="1:13" x14ac:dyDescent="0.2">
      <c r="A30" t="s">
        <v>72</v>
      </c>
      <c r="B30" t="s">
        <v>68</v>
      </c>
      <c r="C30" t="s">
        <v>34</v>
      </c>
      <c r="D30" t="s">
        <v>15</v>
      </c>
      <c r="E30">
        <v>444</v>
      </c>
      <c r="F30">
        <v>577.20000000000005</v>
      </c>
      <c r="G30">
        <v>212</v>
      </c>
      <c r="H30">
        <v>15</v>
      </c>
      <c r="I30" t="s">
        <v>43</v>
      </c>
      <c r="J30" s="1">
        <v>45922</v>
      </c>
      <c r="K30" s="1">
        <v>45987</v>
      </c>
      <c r="L30" t="s">
        <v>23</v>
      </c>
      <c r="M30">
        <f>tblInventory[[#This Row],[Unit Cost]]*tblInventory[[#This Row],[Quantity in Stock]]</f>
        <v>94128</v>
      </c>
    </row>
    <row r="31" spans="1:13" x14ac:dyDescent="0.2">
      <c r="A31" t="s">
        <v>73</v>
      </c>
      <c r="B31" t="s">
        <v>74</v>
      </c>
      <c r="C31" t="s">
        <v>29</v>
      </c>
      <c r="D31" t="s">
        <v>19</v>
      </c>
      <c r="E31">
        <v>529</v>
      </c>
      <c r="F31">
        <v>740.6</v>
      </c>
      <c r="G31">
        <v>58</v>
      </c>
      <c r="H31">
        <v>20</v>
      </c>
      <c r="I31" t="s">
        <v>16</v>
      </c>
      <c r="J31" s="1">
        <v>46140</v>
      </c>
      <c r="K31" s="1">
        <v>46230</v>
      </c>
      <c r="L31" t="s">
        <v>23</v>
      </c>
      <c r="M31">
        <f>tblInventory[[#This Row],[Unit Cost]]*tblInventory[[#This Row],[Quantity in Stock]]</f>
        <v>30682</v>
      </c>
    </row>
    <row r="32" spans="1:13" x14ac:dyDescent="0.2">
      <c r="A32" t="s">
        <v>75</v>
      </c>
      <c r="B32" t="s">
        <v>68</v>
      </c>
      <c r="C32" t="s">
        <v>34</v>
      </c>
      <c r="D32" t="s">
        <v>26</v>
      </c>
      <c r="E32">
        <v>590</v>
      </c>
      <c r="F32">
        <v>708</v>
      </c>
      <c r="G32">
        <v>300</v>
      </c>
      <c r="H32">
        <v>25</v>
      </c>
      <c r="I32" t="s">
        <v>43</v>
      </c>
      <c r="J32" s="1">
        <v>45768</v>
      </c>
      <c r="K32" s="1">
        <v>45796</v>
      </c>
      <c r="L32" t="s">
        <v>23</v>
      </c>
      <c r="M32">
        <f>tblInventory[[#This Row],[Unit Cost]]*tblInventory[[#This Row],[Quantity in Stock]]</f>
        <v>177000</v>
      </c>
    </row>
    <row r="33" spans="1:13" x14ac:dyDescent="0.2">
      <c r="A33" t="s">
        <v>76</v>
      </c>
      <c r="B33" t="s">
        <v>63</v>
      </c>
      <c r="C33" t="s">
        <v>22</v>
      </c>
      <c r="D33" t="s">
        <v>35</v>
      </c>
      <c r="E33">
        <v>158</v>
      </c>
      <c r="F33">
        <v>237</v>
      </c>
      <c r="G33">
        <v>109</v>
      </c>
      <c r="H33">
        <v>25</v>
      </c>
      <c r="I33" t="s">
        <v>16</v>
      </c>
      <c r="J33" s="1">
        <v>45939</v>
      </c>
      <c r="K33" s="1">
        <v>45980</v>
      </c>
      <c r="L33" t="s">
        <v>23</v>
      </c>
      <c r="M33">
        <f>tblInventory[[#This Row],[Unit Cost]]*tblInventory[[#This Row],[Quantity in Stock]]</f>
        <v>17222</v>
      </c>
    </row>
    <row r="34" spans="1:13" x14ac:dyDescent="0.2">
      <c r="A34" t="s">
        <v>77</v>
      </c>
      <c r="B34" t="s">
        <v>37</v>
      </c>
      <c r="C34" t="s">
        <v>22</v>
      </c>
      <c r="D34" t="s">
        <v>40</v>
      </c>
      <c r="E34">
        <v>604</v>
      </c>
      <c r="F34">
        <v>845.6</v>
      </c>
      <c r="G34">
        <v>299</v>
      </c>
      <c r="H34">
        <v>10</v>
      </c>
      <c r="I34" t="s">
        <v>43</v>
      </c>
      <c r="J34" s="1">
        <v>46079</v>
      </c>
      <c r="K34" s="1">
        <v>46155</v>
      </c>
      <c r="L34" t="s">
        <v>23</v>
      </c>
      <c r="M34">
        <f>tblInventory[[#This Row],[Unit Cost]]*tblInventory[[#This Row],[Quantity in Stock]]</f>
        <v>180596</v>
      </c>
    </row>
    <row r="35" spans="1:13" x14ac:dyDescent="0.2">
      <c r="A35" t="s">
        <v>78</v>
      </c>
      <c r="B35" t="s">
        <v>74</v>
      </c>
      <c r="C35" t="s">
        <v>29</v>
      </c>
      <c r="D35" t="s">
        <v>26</v>
      </c>
      <c r="E35">
        <v>558</v>
      </c>
      <c r="F35">
        <v>725.4</v>
      </c>
      <c r="G35">
        <v>216</v>
      </c>
      <c r="H35">
        <v>40</v>
      </c>
      <c r="I35" t="s">
        <v>43</v>
      </c>
      <c r="J35" s="1">
        <v>46129</v>
      </c>
      <c r="K35" s="1">
        <v>46207</v>
      </c>
      <c r="L35" t="s">
        <v>23</v>
      </c>
      <c r="M35">
        <f>tblInventory[[#This Row],[Unit Cost]]*tblInventory[[#This Row],[Quantity in Stock]]</f>
        <v>120528</v>
      </c>
    </row>
    <row r="36" spans="1:13" x14ac:dyDescent="0.2">
      <c r="A36" t="s">
        <v>79</v>
      </c>
      <c r="B36" t="s">
        <v>65</v>
      </c>
      <c r="C36" t="s">
        <v>22</v>
      </c>
      <c r="D36" t="s">
        <v>19</v>
      </c>
      <c r="E36">
        <v>337</v>
      </c>
      <c r="F36">
        <v>404.4</v>
      </c>
      <c r="G36">
        <v>127</v>
      </c>
      <c r="H36">
        <v>50</v>
      </c>
      <c r="I36" t="s">
        <v>31</v>
      </c>
      <c r="J36" s="1">
        <v>45864</v>
      </c>
      <c r="K36" s="1">
        <v>45868</v>
      </c>
      <c r="L36" t="s">
        <v>23</v>
      </c>
      <c r="M36">
        <f>tblInventory[[#This Row],[Unit Cost]]*tblInventory[[#This Row],[Quantity in Stock]]</f>
        <v>42799</v>
      </c>
    </row>
    <row r="37" spans="1:13" x14ac:dyDescent="0.2">
      <c r="A37" t="s">
        <v>80</v>
      </c>
      <c r="B37" t="s">
        <v>48</v>
      </c>
      <c r="C37" t="s">
        <v>14</v>
      </c>
      <c r="D37" t="s">
        <v>30</v>
      </c>
      <c r="E37">
        <v>464</v>
      </c>
      <c r="F37">
        <v>556.79999999999995</v>
      </c>
      <c r="G37">
        <v>166</v>
      </c>
      <c r="H37">
        <v>30</v>
      </c>
      <c r="I37" t="s">
        <v>43</v>
      </c>
      <c r="J37" s="1">
        <v>46133</v>
      </c>
      <c r="K37" s="1">
        <v>46159</v>
      </c>
      <c r="L37" t="s">
        <v>23</v>
      </c>
      <c r="M37">
        <f>tblInventory[[#This Row],[Unit Cost]]*tblInventory[[#This Row],[Quantity in Stock]]</f>
        <v>77024</v>
      </c>
    </row>
    <row r="38" spans="1:13" x14ac:dyDescent="0.2">
      <c r="A38" t="s">
        <v>81</v>
      </c>
      <c r="B38" t="s">
        <v>63</v>
      </c>
      <c r="C38" t="s">
        <v>22</v>
      </c>
      <c r="D38" t="s">
        <v>40</v>
      </c>
      <c r="E38">
        <v>478</v>
      </c>
      <c r="F38">
        <v>573.6</v>
      </c>
      <c r="G38">
        <v>100</v>
      </c>
      <c r="H38">
        <v>25</v>
      </c>
      <c r="I38" t="s">
        <v>16</v>
      </c>
      <c r="J38" s="1">
        <v>45807</v>
      </c>
      <c r="K38" s="1">
        <v>45832</v>
      </c>
      <c r="L38" t="s">
        <v>23</v>
      </c>
      <c r="M38">
        <f>tblInventory[[#This Row],[Unit Cost]]*tblInventory[[#This Row],[Quantity in Stock]]</f>
        <v>47800</v>
      </c>
    </row>
    <row r="39" spans="1:13" x14ac:dyDescent="0.2">
      <c r="A39" t="s">
        <v>82</v>
      </c>
      <c r="B39" t="s">
        <v>74</v>
      </c>
      <c r="C39" t="s">
        <v>29</v>
      </c>
      <c r="D39" t="s">
        <v>26</v>
      </c>
      <c r="E39">
        <v>349</v>
      </c>
      <c r="F39">
        <v>523.5</v>
      </c>
      <c r="G39">
        <v>271</v>
      </c>
      <c r="H39">
        <v>20</v>
      </c>
      <c r="I39" t="s">
        <v>16</v>
      </c>
      <c r="J39" s="1">
        <v>45928</v>
      </c>
      <c r="K39" s="1">
        <v>45978</v>
      </c>
      <c r="L39" t="s">
        <v>23</v>
      </c>
      <c r="M39">
        <f>tblInventory[[#This Row],[Unit Cost]]*tblInventory[[#This Row],[Quantity in Stock]]</f>
        <v>94579</v>
      </c>
    </row>
    <row r="40" spans="1:13" x14ac:dyDescent="0.2">
      <c r="A40" t="s">
        <v>83</v>
      </c>
      <c r="B40" t="s">
        <v>63</v>
      </c>
      <c r="C40" t="s">
        <v>22</v>
      </c>
      <c r="D40" t="s">
        <v>15</v>
      </c>
      <c r="E40">
        <v>242</v>
      </c>
      <c r="F40">
        <v>363</v>
      </c>
      <c r="G40">
        <v>168</v>
      </c>
      <c r="H40">
        <v>50</v>
      </c>
      <c r="I40" t="s">
        <v>31</v>
      </c>
      <c r="J40" s="1">
        <v>45772</v>
      </c>
      <c r="K40" s="1">
        <v>45817</v>
      </c>
      <c r="L40" t="s">
        <v>23</v>
      </c>
      <c r="M40">
        <f>tblInventory[[#This Row],[Unit Cost]]*tblInventory[[#This Row],[Quantity in Stock]]</f>
        <v>40656</v>
      </c>
    </row>
    <row r="41" spans="1:13" x14ac:dyDescent="0.2">
      <c r="A41" t="s">
        <v>84</v>
      </c>
      <c r="B41" t="s">
        <v>50</v>
      </c>
      <c r="C41" t="s">
        <v>34</v>
      </c>
      <c r="D41" t="s">
        <v>26</v>
      </c>
      <c r="E41">
        <v>211</v>
      </c>
      <c r="F41">
        <v>274.3</v>
      </c>
      <c r="G41">
        <v>36</v>
      </c>
      <c r="H41">
        <v>50</v>
      </c>
      <c r="I41" t="s">
        <v>43</v>
      </c>
      <c r="J41" s="1">
        <v>45953</v>
      </c>
      <c r="K41" s="1">
        <v>45969</v>
      </c>
      <c r="L41" t="s">
        <v>17</v>
      </c>
      <c r="M41">
        <f>tblInventory[[#This Row],[Unit Cost]]*tblInventory[[#This Row],[Quantity in Stock]]</f>
        <v>7596</v>
      </c>
    </row>
    <row r="42" spans="1:13" x14ac:dyDescent="0.2">
      <c r="A42" t="s">
        <v>85</v>
      </c>
      <c r="B42" t="s">
        <v>48</v>
      </c>
      <c r="C42" t="s">
        <v>14</v>
      </c>
      <c r="D42" t="s">
        <v>19</v>
      </c>
      <c r="E42">
        <v>385</v>
      </c>
      <c r="F42">
        <v>539</v>
      </c>
      <c r="G42">
        <v>39</v>
      </c>
      <c r="H42">
        <v>40</v>
      </c>
      <c r="I42" t="s">
        <v>31</v>
      </c>
      <c r="J42" s="1">
        <v>45660</v>
      </c>
      <c r="K42" s="1">
        <v>45732</v>
      </c>
      <c r="L42" t="s">
        <v>17</v>
      </c>
      <c r="M42">
        <f>tblInventory[[#This Row],[Unit Cost]]*tblInventory[[#This Row],[Quantity in Stock]]</f>
        <v>15015</v>
      </c>
    </row>
    <row r="43" spans="1:13" x14ac:dyDescent="0.2">
      <c r="A43" t="s">
        <v>86</v>
      </c>
      <c r="B43" t="s">
        <v>87</v>
      </c>
      <c r="C43" t="s">
        <v>29</v>
      </c>
      <c r="D43" t="s">
        <v>35</v>
      </c>
      <c r="E43">
        <v>148</v>
      </c>
      <c r="F43">
        <v>192.4</v>
      </c>
      <c r="G43">
        <v>187</v>
      </c>
      <c r="H43">
        <v>40</v>
      </c>
      <c r="I43" t="s">
        <v>16</v>
      </c>
      <c r="J43" s="1">
        <v>45720</v>
      </c>
      <c r="K43" s="1">
        <v>45783</v>
      </c>
      <c r="L43" t="s">
        <v>23</v>
      </c>
      <c r="M43">
        <f>tblInventory[[#This Row],[Unit Cost]]*tblInventory[[#This Row],[Quantity in Stock]]</f>
        <v>27676</v>
      </c>
    </row>
    <row r="44" spans="1:13" x14ac:dyDescent="0.2">
      <c r="A44" t="s">
        <v>88</v>
      </c>
      <c r="B44" t="s">
        <v>46</v>
      </c>
      <c r="C44" t="s">
        <v>14</v>
      </c>
      <c r="D44" t="s">
        <v>19</v>
      </c>
      <c r="E44">
        <v>90</v>
      </c>
      <c r="F44">
        <v>126</v>
      </c>
      <c r="G44">
        <v>144</v>
      </c>
      <c r="H44">
        <v>10</v>
      </c>
      <c r="I44" t="s">
        <v>43</v>
      </c>
      <c r="J44" s="1">
        <v>45990</v>
      </c>
      <c r="K44" s="1">
        <v>46001</v>
      </c>
      <c r="L44" t="s">
        <v>23</v>
      </c>
      <c r="M44">
        <f>tblInventory[[#This Row],[Unit Cost]]*tblInventory[[#This Row],[Quantity in Stock]]</f>
        <v>12960</v>
      </c>
    </row>
    <row r="45" spans="1:13" x14ac:dyDescent="0.2">
      <c r="A45" t="s">
        <v>89</v>
      </c>
      <c r="B45" t="s">
        <v>48</v>
      </c>
      <c r="C45" t="s">
        <v>14</v>
      </c>
      <c r="D45" t="s">
        <v>15</v>
      </c>
      <c r="E45">
        <v>454</v>
      </c>
      <c r="F45">
        <v>590.20000000000005</v>
      </c>
      <c r="G45">
        <v>51</v>
      </c>
      <c r="H45">
        <v>50</v>
      </c>
      <c r="I45" t="s">
        <v>43</v>
      </c>
      <c r="J45" s="1">
        <v>46031</v>
      </c>
      <c r="K45" s="1">
        <v>46064</v>
      </c>
      <c r="L45" t="s">
        <v>23</v>
      </c>
      <c r="M45">
        <f>tblInventory[[#This Row],[Unit Cost]]*tblInventory[[#This Row],[Quantity in Stock]]</f>
        <v>23154</v>
      </c>
    </row>
    <row r="46" spans="1:13" x14ac:dyDescent="0.2">
      <c r="A46" t="s">
        <v>90</v>
      </c>
      <c r="B46" t="s">
        <v>57</v>
      </c>
      <c r="C46" t="s">
        <v>29</v>
      </c>
      <c r="D46" t="s">
        <v>26</v>
      </c>
      <c r="E46">
        <v>140</v>
      </c>
      <c r="F46">
        <v>168</v>
      </c>
      <c r="G46">
        <v>228</v>
      </c>
      <c r="H46">
        <v>40</v>
      </c>
      <c r="I46" t="s">
        <v>43</v>
      </c>
      <c r="J46" s="1">
        <v>46075</v>
      </c>
      <c r="K46" s="1">
        <v>46117</v>
      </c>
      <c r="L46" t="s">
        <v>23</v>
      </c>
      <c r="M46">
        <f>tblInventory[[#This Row],[Unit Cost]]*tblInventory[[#This Row],[Quantity in Stock]]</f>
        <v>31920</v>
      </c>
    </row>
    <row r="47" spans="1:13" x14ac:dyDescent="0.2">
      <c r="A47" t="s">
        <v>91</v>
      </c>
      <c r="B47" t="s">
        <v>48</v>
      </c>
      <c r="C47" t="s">
        <v>14</v>
      </c>
      <c r="D47" t="s">
        <v>15</v>
      </c>
      <c r="E47">
        <v>699</v>
      </c>
      <c r="F47">
        <v>838.8</v>
      </c>
      <c r="G47">
        <v>285</v>
      </c>
      <c r="H47">
        <v>10</v>
      </c>
      <c r="I47" t="s">
        <v>16</v>
      </c>
      <c r="J47" s="1">
        <v>45718</v>
      </c>
      <c r="K47" s="1">
        <v>45771</v>
      </c>
      <c r="L47" t="s">
        <v>23</v>
      </c>
      <c r="M47">
        <f>tblInventory[[#This Row],[Unit Cost]]*tblInventory[[#This Row],[Quantity in Stock]]</f>
        <v>199215</v>
      </c>
    </row>
    <row r="48" spans="1:13" x14ac:dyDescent="0.2">
      <c r="A48" t="s">
        <v>92</v>
      </c>
      <c r="B48" t="s">
        <v>52</v>
      </c>
      <c r="C48" t="s">
        <v>22</v>
      </c>
      <c r="D48" t="s">
        <v>30</v>
      </c>
      <c r="E48">
        <v>536</v>
      </c>
      <c r="F48">
        <v>804</v>
      </c>
      <c r="G48">
        <v>17</v>
      </c>
      <c r="H48">
        <v>10</v>
      </c>
      <c r="I48" t="s">
        <v>43</v>
      </c>
      <c r="J48" s="1">
        <v>46021</v>
      </c>
      <c r="K48" s="1">
        <v>46088</v>
      </c>
      <c r="L48" t="s">
        <v>23</v>
      </c>
      <c r="M48">
        <f>tblInventory[[#This Row],[Unit Cost]]*tblInventory[[#This Row],[Quantity in Stock]]</f>
        <v>9112</v>
      </c>
    </row>
    <row r="49" spans="1:13" x14ac:dyDescent="0.2">
      <c r="A49" t="s">
        <v>93</v>
      </c>
      <c r="B49" t="s">
        <v>70</v>
      </c>
      <c r="C49" t="s">
        <v>14</v>
      </c>
      <c r="D49" t="s">
        <v>19</v>
      </c>
      <c r="E49">
        <v>170</v>
      </c>
      <c r="F49">
        <v>221</v>
      </c>
      <c r="G49">
        <v>245</v>
      </c>
      <c r="H49">
        <v>40</v>
      </c>
      <c r="I49" t="s">
        <v>16</v>
      </c>
      <c r="J49" s="1">
        <v>45807</v>
      </c>
      <c r="K49" s="1">
        <v>45881</v>
      </c>
      <c r="L49" t="s">
        <v>23</v>
      </c>
      <c r="M49">
        <f>tblInventory[[#This Row],[Unit Cost]]*tblInventory[[#This Row],[Quantity in Stock]]</f>
        <v>41650</v>
      </c>
    </row>
    <row r="50" spans="1:13" x14ac:dyDescent="0.2">
      <c r="A50" t="s">
        <v>94</v>
      </c>
      <c r="B50" t="s">
        <v>68</v>
      </c>
      <c r="C50" t="s">
        <v>34</v>
      </c>
      <c r="D50" t="s">
        <v>15</v>
      </c>
      <c r="E50">
        <v>535</v>
      </c>
      <c r="F50">
        <v>802.5</v>
      </c>
      <c r="G50">
        <v>207</v>
      </c>
      <c r="H50">
        <v>20</v>
      </c>
      <c r="I50" t="s">
        <v>31</v>
      </c>
      <c r="J50" s="1">
        <v>46174</v>
      </c>
      <c r="K50" s="1">
        <v>46260</v>
      </c>
      <c r="L50" t="s">
        <v>23</v>
      </c>
      <c r="M50">
        <f>tblInventory[[#This Row],[Unit Cost]]*tblInventory[[#This Row],[Quantity in Stock]]</f>
        <v>110745</v>
      </c>
    </row>
    <row r="51" spans="1:13" x14ac:dyDescent="0.2">
      <c r="A51" t="s">
        <v>95</v>
      </c>
      <c r="B51" t="s">
        <v>65</v>
      </c>
      <c r="C51" t="s">
        <v>22</v>
      </c>
      <c r="D51" t="s">
        <v>15</v>
      </c>
      <c r="E51">
        <v>605</v>
      </c>
      <c r="F51">
        <v>726</v>
      </c>
      <c r="G51">
        <v>272</v>
      </c>
      <c r="H51">
        <v>20</v>
      </c>
      <c r="I51" t="s">
        <v>43</v>
      </c>
      <c r="J51" s="1">
        <v>46040</v>
      </c>
      <c r="K51" s="1">
        <v>46071</v>
      </c>
      <c r="L51" t="s">
        <v>23</v>
      </c>
      <c r="M51">
        <f>tblInventory[[#This Row],[Unit Cost]]*tblInventory[[#This Row],[Quantity in Stock]]</f>
        <v>164560</v>
      </c>
    </row>
    <row r="52" spans="1:13" x14ac:dyDescent="0.2">
      <c r="A52" t="s">
        <v>96</v>
      </c>
      <c r="B52" t="s">
        <v>25</v>
      </c>
      <c r="C52" t="s">
        <v>14</v>
      </c>
      <c r="D52" t="s">
        <v>19</v>
      </c>
      <c r="E52">
        <v>585</v>
      </c>
      <c r="F52">
        <v>877.5</v>
      </c>
      <c r="G52">
        <v>247</v>
      </c>
      <c r="H52">
        <v>30</v>
      </c>
      <c r="I52" t="s">
        <v>16</v>
      </c>
      <c r="J52" s="1">
        <v>45879</v>
      </c>
      <c r="K52" s="1">
        <v>45880</v>
      </c>
      <c r="L52" t="s">
        <v>23</v>
      </c>
      <c r="M52">
        <f>tblInventory[[#This Row],[Unit Cost]]*tblInventory[[#This Row],[Quantity in Stock]]</f>
        <v>144495</v>
      </c>
    </row>
    <row r="53" spans="1:13" x14ac:dyDescent="0.2">
      <c r="A53" t="s">
        <v>97</v>
      </c>
      <c r="B53" t="s">
        <v>52</v>
      </c>
      <c r="C53" t="s">
        <v>22</v>
      </c>
      <c r="D53" t="s">
        <v>26</v>
      </c>
      <c r="E53">
        <v>508</v>
      </c>
      <c r="F53">
        <v>711.2</v>
      </c>
      <c r="G53">
        <v>244</v>
      </c>
      <c r="H53">
        <v>40</v>
      </c>
      <c r="I53" t="s">
        <v>43</v>
      </c>
      <c r="J53" s="1">
        <v>45871</v>
      </c>
      <c r="K53" s="1">
        <v>45932</v>
      </c>
      <c r="L53" t="s">
        <v>23</v>
      </c>
      <c r="M53">
        <f>tblInventory[[#This Row],[Unit Cost]]*tblInventory[[#This Row],[Quantity in Stock]]</f>
        <v>123952</v>
      </c>
    </row>
    <row r="54" spans="1:13" x14ac:dyDescent="0.2">
      <c r="A54" t="s">
        <v>98</v>
      </c>
      <c r="B54" t="s">
        <v>13</v>
      </c>
      <c r="C54" t="s">
        <v>14</v>
      </c>
      <c r="D54" t="s">
        <v>40</v>
      </c>
      <c r="E54">
        <v>200</v>
      </c>
      <c r="F54">
        <v>260</v>
      </c>
      <c r="G54">
        <v>176</v>
      </c>
      <c r="H54">
        <v>20</v>
      </c>
      <c r="I54" t="s">
        <v>31</v>
      </c>
      <c r="J54" s="1">
        <v>45889</v>
      </c>
      <c r="K54" s="1">
        <v>45938</v>
      </c>
      <c r="L54" t="s">
        <v>23</v>
      </c>
      <c r="M54">
        <f>tblInventory[[#This Row],[Unit Cost]]*tblInventory[[#This Row],[Quantity in Stock]]</f>
        <v>35200</v>
      </c>
    </row>
    <row r="55" spans="1:13" x14ac:dyDescent="0.2">
      <c r="A55" t="s">
        <v>99</v>
      </c>
      <c r="B55" t="s">
        <v>21</v>
      </c>
      <c r="C55" t="s">
        <v>22</v>
      </c>
      <c r="D55" t="s">
        <v>19</v>
      </c>
      <c r="E55">
        <v>279</v>
      </c>
      <c r="F55">
        <v>418.5</v>
      </c>
      <c r="G55">
        <v>234</v>
      </c>
      <c r="H55">
        <v>30</v>
      </c>
      <c r="I55" t="s">
        <v>43</v>
      </c>
      <c r="J55" s="1">
        <v>46161</v>
      </c>
      <c r="K55" s="1">
        <v>46166</v>
      </c>
      <c r="L55" t="s">
        <v>23</v>
      </c>
      <c r="M55">
        <f>tblInventory[[#This Row],[Unit Cost]]*tblInventory[[#This Row],[Quantity in Stock]]</f>
        <v>65286</v>
      </c>
    </row>
    <row r="56" spans="1:13" x14ac:dyDescent="0.2">
      <c r="A56" t="s">
        <v>100</v>
      </c>
      <c r="B56" t="s">
        <v>74</v>
      </c>
      <c r="C56" t="s">
        <v>29</v>
      </c>
      <c r="D56" t="s">
        <v>19</v>
      </c>
      <c r="E56">
        <v>483</v>
      </c>
      <c r="F56">
        <v>579.6</v>
      </c>
      <c r="G56">
        <v>76</v>
      </c>
      <c r="H56">
        <v>25</v>
      </c>
      <c r="I56" t="s">
        <v>43</v>
      </c>
      <c r="J56" s="1">
        <v>45888</v>
      </c>
      <c r="K56" s="1">
        <v>45971</v>
      </c>
      <c r="L56" t="s">
        <v>23</v>
      </c>
      <c r="M56">
        <f>tblInventory[[#This Row],[Unit Cost]]*tblInventory[[#This Row],[Quantity in Stock]]</f>
        <v>36708</v>
      </c>
    </row>
    <row r="57" spans="1:13" x14ac:dyDescent="0.2">
      <c r="A57" t="s">
        <v>101</v>
      </c>
      <c r="B57" t="s">
        <v>25</v>
      </c>
      <c r="C57" t="s">
        <v>14</v>
      </c>
      <c r="D57" t="s">
        <v>26</v>
      </c>
      <c r="E57">
        <v>54</v>
      </c>
      <c r="F57">
        <v>70.2</v>
      </c>
      <c r="G57">
        <v>56</v>
      </c>
      <c r="H57">
        <v>40</v>
      </c>
      <c r="I57" t="s">
        <v>43</v>
      </c>
      <c r="J57" s="1">
        <v>46097</v>
      </c>
      <c r="K57" s="1">
        <v>46101</v>
      </c>
      <c r="L57" t="s">
        <v>23</v>
      </c>
      <c r="M57">
        <f>tblInventory[[#This Row],[Unit Cost]]*tblInventory[[#This Row],[Quantity in Stock]]</f>
        <v>3024</v>
      </c>
    </row>
    <row r="58" spans="1:13" x14ac:dyDescent="0.2">
      <c r="A58" t="s">
        <v>102</v>
      </c>
      <c r="B58" t="s">
        <v>70</v>
      </c>
      <c r="C58" t="s">
        <v>14</v>
      </c>
      <c r="D58" t="s">
        <v>40</v>
      </c>
      <c r="E58">
        <v>434</v>
      </c>
      <c r="F58">
        <v>607.6</v>
      </c>
      <c r="G58">
        <v>192</v>
      </c>
      <c r="H58">
        <v>15</v>
      </c>
      <c r="I58" t="s">
        <v>16</v>
      </c>
      <c r="J58" s="1">
        <v>46094</v>
      </c>
      <c r="K58" s="1">
        <v>46112</v>
      </c>
      <c r="L58" t="s">
        <v>23</v>
      </c>
      <c r="M58">
        <f>tblInventory[[#This Row],[Unit Cost]]*tblInventory[[#This Row],[Quantity in Stock]]</f>
        <v>83328</v>
      </c>
    </row>
    <row r="59" spans="1:13" x14ac:dyDescent="0.2">
      <c r="A59" t="s">
        <v>103</v>
      </c>
      <c r="B59" t="s">
        <v>104</v>
      </c>
      <c r="C59" t="s">
        <v>29</v>
      </c>
      <c r="D59" t="s">
        <v>19</v>
      </c>
      <c r="E59">
        <v>51</v>
      </c>
      <c r="F59">
        <v>76.5</v>
      </c>
      <c r="G59">
        <v>176</v>
      </c>
      <c r="H59">
        <v>25</v>
      </c>
      <c r="I59" t="s">
        <v>43</v>
      </c>
      <c r="J59" s="1">
        <v>45994</v>
      </c>
      <c r="K59" s="1">
        <v>46054</v>
      </c>
      <c r="L59" t="s">
        <v>23</v>
      </c>
      <c r="M59">
        <f>tblInventory[[#This Row],[Unit Cost]]*tblInventory[[#This Row],[Quantity in Stock]]</f>
        <v>8976</v>
      </c>
    </row>
    <row r="60" spans="1:13" x14ac:dyDescent="0.2">
      <c r="A60" t="s">
        <v>105</v>
      </c>
      <c r="B60" t="s">
        <v>104</v>
      </c>
      <c r="C60" t="s">
        <v>29</v>
      </c>
      <c r="D60" t="s">
        <v>40</v>
      </c>
      <c r="E60">
        <v>63</v>
      </c>
      <c r="F60">
        <v>94.5</v>
      </c>
      <c r="G60">
        <v>203</v>
      </c>
      <c r="H60">
        <v>15</v>
      </c>
      <c r="I60" t="s">
        <v>31</v>
      </c>
      <c r="J60" s="1">
        <v>45779</v>
      </c>
      <c r="K60" s="1">
        <v>45813</v>
      </c>
      <c r="L60" t="s">
        <v>23</v>
      </c>
      <c r="M60">
        <f>tblInventory[[#This Row],[Unit Cost]]*tblInventory[[#This Row],[Quantity in Stock]]</f>
        <v>12789</v>
      </c>
    </row>
    <row r="61" spans="1:13" x14ac:dyDescent="0.2">
      <c r="A61" t="s">
        <v>106</v>
      </c>
      <c r="B61" t="s">
        <v>68</v>
      </c>
      <c r="C61" t="s">
        <v>34</v>
      </c>
      <c r="D61" t="s">
        <v>15</v>
      </c>
      <c r="E61">
        <v>37</v>
      </c>
      <c r="F61">
        <v>48.1</v>
      </c>
      <c r="G61">
        <v>290</v>
      </c>
      <c r="H61">
        <v>10</v>
      </c>
      <c r="I61" t="s">
        <v>31</v>
      </c>
      <c r="J61" s="1">
        <v>46018</v>
      </c>
      <c r="K61" s="1">
        <v>46047</v>
      </c>
      <c r="L61" t="s">
        <v>23</v>
      </c>
      <c r="M61">
        <f>tblInventory[[#This Row],[Unit Cost]]*tblInventory[[#This Row],[Quantity in Stock]]</f>
        <v>10730</v>
      </c>
    </row>
    <row r="62" spans="1:13" x14ac:dyDescent="0.2">
      <c r="A62" t="s">
        <v>107</v>
      </c>
      <c r="B62" t="s">
        <v>87</v>
      </c>
      <c r="C62" t="s">
        <v>29</v>
      </c>
      <c r="D62" t="s">
        <v>19</v>
      </c>
      <c r="E62">
        <v>229</v>
      </c>
      <c r="F62">
        <v>343.5</v>
      </c>
      <c r="G62">
        <v>257</v>
      </c>
      <c r="H62">
        <v>30</v>
      </c>
      <c r="I62" t="s">
        <v>16</v>
      </c>
      <c r="J62" s="1">
        <v>45679</v>
      </c>
      <c r="K62" s="1">
        <v>45690</v>
      </c>
      <c r="L62" t="s">
        <v>23</v>
      </c>
      <c r="M62">
        <f>tblInventory[[#This Row],[Unit Cost]]*tblInventory[[#This Row],[Quantity in Stock]]</f>
        <v>58853</v>
      </c>
    </row>
    <row r="63" spans="1:13" x14ac:dyDescent="0.2">
      <c r="A63" t="s">
        <v>108</v>
      </c>
      <c r="B63" t="s">
        <v>52</v>
      </c>
      <c r="C63" t="s">
        <v>22</v>
      </c>
      <c r="D63" t="s">
        <v>19</v>
      </c>
      <c r="E63">
        <v>271</v>
      </c>
      <c r="F63">
        <v>325.2</v>
      </c>
      <c r="G63">
        <v>271</v>
      </c>
      <c r="H63">
        <v>30</v>
      </c>
      <c r="I63" t="s">
        <v>43</v>
      </c>
      <c r="J63" s="1">
        <v>45854</v>
      </c>
      <c r="K63" s="1">
        <v>45886</v>
      </c>
      <c r="L63" t="s">
        <v>23</v>
      </c>
      <c r="M63">
        <f>tblInventory[[#This Row],[Unit Cost]]*tblInventory[[#This Row],[Quantity in Stock]]</f>
        <v>73441</v>
      </c>
    </row>
    <row r="64" spans="1:13" x14ac:dyDescent="0.2">
      <c r="A64" t="s">
        <v>109</v>
      </c>
      <c r="B64" t="s">
        <v>28</v>
      </c>
      <c r="C64" t="s">
        <v>29</v>
      </c>
      <c r="D64" t="s">
        <v>40</v>
      </c>
      <c r="E64">
        <v>400</v>
      </c>
      <c r="F64">
        <v>520</v>
      </c>
      <c r="G64">
        <v>140</v>
      </c>
      <c r="H64">
        <v>20</v>
      </c>
      <c r="I64" t="s">
        <v>16</v>
      </c>
      <c r="J64" s="1">
        <v>45784</v>
      </c>
      <c r="K64" s="1">
        <v>45817</v>
      </c>
      <c r="L64" t="s">
        <v>23</v>
      </c>
      <c r="M64">
        <f>tblInventory[[#This Row],[Unit Cost]]*tblInventory[[#This Row],[Quantity in Stock]]</f>
        <v>56000</v>
      </c>
    </row>
    <row r="65" spans="1:13" x14ac:dyDescent="0.2">
      <c r="A65" t="s">
        <v>110</v>
      </c>
      <c r="B65" t="s">
        <v>104</v>
      </c>
      <c r="C65" t="s">
        <v>29</v>
      </c>
      <c r="D65" t="s">
        <v>19</v>
      </c>
      <c r="E65">
        <v>167</v>
      </c>
      <c r="F65">
        <v>250.5</v>
      </c>
      <c r="G65">
        <v>3</v>
      </c>
      <c r="H65">
        <v>50</v>
      </c>
      <c r="I65" t="s">
        <v>43</v>
      </c>
      <c r="J65" s="1">
        <v>45993</v>
      </c>
      <c r="K65" s="1">
        <v>46005</v>
      </c>
      <c r="L65" t="s">
        <v>17</v>
      </c>
      <c r="M65">
        <f>tblInventory[[#This Row],[Unit Cost]]*tblInventory[[#This Row],[Quantity in Stock]]</f>
        <v>501</v>
      </c>
    </row>
    <row r="66" spans="1:13" x14ac:dyDescent="0.2">
      <c r="A66" t="s">
        <v>111</v>
      </c>
      <c r="B66" t="s">
        <v>50</v>
      </c>
      <c r="C66" t="s">
        <v>34</v>
      </c>
      <c r="D66" t="s">
        <v>19</v>
      </c>
      <c r="E66">
        <v>66</v>
      </c>
      <c r="F66">
        <v>85.8</v>
      </c>
      <c r="G66">
        <v>228</v>
      </c>
      <c r="H66">
        <v>15</v>
      </c>
      <c r="I66" t="s">
        <v>43</v>
      </c>
      <c r="J66" s="1">
        <v>46130</v>
      </c>
      <c r="K66" s="1">
        <v>46205</v>
      </c>
      <c r="L66" t="s">
        <v>23</v>
      </c>
      <c r="M66">
        <f>tblInventory[[#This Row],[Unit Cost]]*tblInventory[[#This Row],[Quantity in Stock]]</f>
        <v>15048</v>
      </c>
    </row>
    <row r="67" spans="1:13" x14ac:dyDescent="0.2">
      <c r="A67" t="s">
        <v>112</v>
      </c>
      <c r="B67" t="s">
        <v>63</v>
      </c>
      <c r="C67" t="s">
        <v>22</v>
      </c>
      <c r="D67" t="s">
        <v>26</v>
      </c>
      <c r="E67">
        <v>248</v>
      </c>
      <c r="F67">
        <v>297.60000000000002</v>
      </c>
      <c r="G67">
        <v>207</v>
      </c>
      <c r="H67">
        <v>30</v>
      </c>
      <c r="I67" t="s">
        <v>31</v>
      </c>
      <c r="J67" s="1">
        <v>45835</v>
      </c>
      <c r="K67" s="1">
        <v>45862</v>
      </c>
      <c r="L67" t="s">
        <v>23</v>
      </c>
      <c r="M67">
        <f>tblInventory[[#This Row],[Unit Cost]]*tblInventory[[#This Row],[Quantity in Stock]]</f>
        <v>51336</v>
      </c>
    </row>
    <row r="68" spans="1:13" x14ac:dyDescent="0.2">
      <c r="A68" t="s">
        <v>113</v>
      </c>
      <c r="B68" t="s">
        <v>68</v>
      </c>
      <c r="C68" t="s">
        <v>34</v>
      </c>
      <c r="D68" t="s">
        <v>40</v>
      </c>
      <c r="E68">
        <v>27</v>
      </c>
      <c r="F68">
        <v>32.4</v>
      </c>
      <c r="G68">
        <v>37</v>
      </c>
      <c r="H68">
        <v>30</v>
      </c>
      <c r="I68" t="s">
        <v>16</v>
      </c>
      <c r="J68" s="1">
        <v>46050</v>
      </c>
      <c r="K68" s="1">
        <v>46051</v>
      </c>
      <c r="L68" t="s">
        <v>23</v>
      </c>
      <c r="M68">
        <f>tblInventory[[#This Row],[Unit Cost]]*tblInventory[[#This Row],[Quantity in Stock]]</f>
        <v>999</v>
      </c>
    </row>
    <row r="69" spans="1:13" x14ac:dyDescent="0.2">
      <c r="A69" t="s">
        <v>114</v>
      </c>
      <c r="B69" t="s">
        <v>60</v>
      </c>
      <c r="C69" t="s">
        <v>34</v>
      </c>
      <c r="D69" t="s">
        <v>26</v>
      </c>
      <c r="E69">
        <v>441</v>
      </c>
      <c r="F69">
        <v>573.29999999999995</v>
      </c>
      <c r="G69">
        <v>24</v>
      </c>
      <c r="H69">
        <v>50</v>
      </c>
      <c r="I69" t="s">
        <v>43</v>
      </c>
      <c r="J69" s="1">
        <v>45690</v>
      </c>
      <c r="K69" s="1">
        <v>45697</v>
      </c>
      <c r="L69" t="s">
        <v>17</v>
      </c>
      <c r="M69">
        <f>tblInventory[[#This Row],[Unit Cost]]*tblInventory[[#This Row],[Quantity in Stock]]</f>
        <v>10584</v>
      </c>
    </row>
    <row r="70" spans="1:13" x14ac:dyDescent="0.2">
      <c r="A70" t="s">
        <v>115</v>
      </c>
      <c r="B70" t="s">
        <v>116</v>
      </c>
      <c r="C70" t="s">
        <v>22</v>
      </c>
      <c r="D70" t="s">
        <v>40</v>
      </c>
      <c r="E70">
        <v>283</v>
      </c>
      <c r="F70">
        <v>424.5</v>
      </c>
      <c r="G70">
        <v>224</v>
      </c>
      <c r="H70">
        <v>50</v>
      </c>
      <c r="I70" t="s">
        <v>16</v>
      </c>
      <c r="J70" s="1">
        <v>45835</v>
      </c>
      <c r="K70" s="1">
        <v>45839</v>
      </c>
      <c r="L70" t="s">
        <v>23</v>
      </c>
      <c r="M70">
        <f>tblInventory[[#This Row],[Unit Cost]]*tblInventory[[#This Row],[Quantity in Stock]]</f>
        <v>63392</v>
      </c>
    </row>
    <row r="71" spans="1:13" x14ac:dyDescent="0.2">
      <c r="A71" t="s">
        <v>117</v>
      </c>
      <c r="B71" t="s">
        <v>50</v>
      </c>
      <c r="C71" t="s">
        <v>34</v>
      </c>
      <c r="D71" t="s">
        <v>30</v>
      </c>
      <c r="E71">
        <v>694</v>
      </c>
      <c r="F71">
        <v>902.2</v>
      </c>
      <c r="G71">
        <v>267</v>
      </c>
      <c r="H71">
        <v>20</v>
      </c>
      <c r="I71" t="s">
        <v>31</v>
      </c>
      <c r="J71" s="1">
        <v>46141</v>
      </c>
      <c r="K71" s="1">
        <v>46166</v>
      </c>
      <c r="L71" t="s">
        <v>23</v>
      </c>
      <c r="M71">
        <f>tblInventory[[#This Row],[Unit Cost]]*tblInventory[[#This Row],[Quantity in Stock]]</f>
        <v>185298</v>
      </c>
    </row>
    <row r="72" spans="1:13" x14ac:dyDescent="0.2">
      <c r="A72" t="s">
        <v>118</v>
      </c>
      <c r="B72" t="s">
        <v>87</v>
      </c>
      <c r="C72" t="s">
        <v>29</v>
      </c>
      <c r="D72" t="s">
        <v>15</v>
      </c>
      <c r="E72">
        <v>561</v>
      </c>
      <c r="F72">
        <v>673.2</v>
      </c>
      <c r="G72">
        <v>236</v>
      </c>
      <c r="H72">
        <v>10</v>
      </c>
      <c r="I72" t="s">
        <v>31</v>
      </c>
      <c r="J72" s="1">
        <v>45917</v>
      </c>
      <c r="K72" s="1">
        <v>45921</v>
      </c>
      <c r="L72" t="s">
        <v>23</v>
      </c>
      <c r="M72">
        <f>tblInventory[[#This Row],[Unit Cost]]*tblInventory[[#This Row],[Quantity in Stock]]</f>
        <v>132396</v>
      </c>
    </row>
    <row r="73" spans="1:13" x14ac:dyDescent="0.2">
      <c r="A73" t="s">
        <v>119</v>
      </c>
      <c r="B73" t="s">
        <v>42</v>
      </c>
      <c r="C73" t="s">
        <v>34</v>
      </c>
      <c r="D73" t="s">
        <v>35</v>
      </c>
      <c r="E73">
        <v>255</v>
      </c>
      <c r="F73">
        <v>331.5</v>
      </c>
      <c r="G73">
        <v>278</v>
      </c>
      <c r="H73">
        <v>25</v>
      </c>
      <c r="I73" t="s">
        <v>16</v>
      </c>
      <c r="J73" s="1">
        <v>46033</v>
      </c>
      <c r="K73" s="1">
        <v>46064</v>
      </c>
      <c r="L73" t="s">
        <v>23</v>
      </c>
      <c r="M73">
        <f>tblInventory[[#This Row],[Unit Cost]]*tblInventory[[#This Row],[Quantity in Stock]]</f>
        <v>70890</v>
      </c>
    </row>
    <row r="74" spans="1:13" x14ac:dyDescent="0.2">
      <c r="A74" t="s">
        <v>120</v>
      </c>
      <c r="B74" t="s">
        <v>25</v>
      </c>
      <c r="C74" t="s">
        <v>14</v>
      </c>
      <c r="D74" t="s">
        <v>19</v>
      </c>
      <c r="E74">
        <v>563</v>
      </c>
      <c r="F74">
        <v>788.2</v>
      </c>
      <c r="G74">
        <v>201</v>
      </c>
      <c r="H74">
        <v>50</v>
      </c>
      <c r="I74" t="s">
        <v>43</v>
      </c>
      <c r="J74" s="1">
        <v>46076</v>
      </c>
      <c r="K74" s="1">
        <v>46089</v>
      </c>
      <c r="L74" t="s">
        <v>23</v>
      </c>
      <c r="M74">
        <f>tblInventory[[#This Row],[Unit Cost]]*tblInventory[[#This Row],[Quantity in Stock]]</f>
        <v>113163</v>
      </c>
    </row>
    <row r="75" spans="1:13" x14ac:dyDescent="0.2">
      <c r="A75" t="s">
        <v>121</v>
      </c>
      <c r="B75" t="s">
        <v>21</v>
      </c>
      <c r="C75" t="s">
        <v>22</v>
      </c>
      <c r="D75" t="s">
        <v>30</v>
      </c>
      <c r="E75">
        <v>304</v>
      </c>
      <c r="F75">
        <v>456</v>
      </c>
      <c r="G75">
        <v>251</v>
      </c>
      <c r="H75">
        <v>50</v>
      </c>
      <c r="I75" t="s">
        <v>31</v>
      </c>
      <c r="J75" s="1">
        <v>46089</v>
      </c>
      <c r="K75" s="1">
        <v>46114</v>
      </c>
      <c r="L75" t="s">
        <v>23</v>
      </c>
      <c r="M75">
        <f>tblInventory[[#This Row],[Unit Cost]]*tblInventory[[#This Row],[Quantity in Stock]]</f>
        <v>76304</v>
      </c>
    </row>
    <row r="76" spans="1:13" x14ac:dyDescent="0.2">
      <c r="A76" t="s">
        <v>122</v>
      </c>
      <c r="B76" t="s">
        <v>37</v>
      </c>
      <c r="C76" t="s">
        <v>22</v>
      </c>
      <c r="D76" t="s">
        <v>15</v>
      </c>
      <c r="E76">
        <v>665</v>
      </c>
      <c r="F76">
        <v>931</v>
      </c>
      <c r="G76">
        <v>174</v>
      </c>
      <c r="H76">
        <v>30</v>
      </c>
      <c r="I76" t="s">
        <v>16</v>
      </c>
      <c r="J76" s="1">
        <v>45710</v>
      </c>
      <c r="K76" s="1">
        <v>45754</v>
      </c>
      <c r="L76" t="s">
        <v>23</v>
      </c>
      <c r="M76">
        <f>tblInventory[[#This Row],[Unit Cost]]*tblInventory[[#This Row],[Quantity in Stock]]</f>
        <v>115710</v>
      </c>
    </row>
    <row r="77" spans="1:13" x14ac:dyDescent="0.2">
      <c r="A77" t="s">
        <v>123</v>
      </c>
      <c r="B77" t="s">
        <v>21</v>
      </c>
      <c r="C77" t="s">
        <v>22</v>
      </c>
      <c r="D77" t="s">
        <v>40</v>
      </c>
      <c r="E77">
        <v>392</v>
      </c>
      <c r="F77">
        <v>588</v>
      </c>
      <c r="G77">
        <v>164</v>
      </c>
      <c r="H77">
        <v>50</v>
      </c>
      <c r="I77" t="s">
        <v>16</v>
      </c>
      <c r="J77" s="1">
        <v>46069</v>
      </c>
      <c r="K77" s="1">
        <v>46136</v>
      </c>
      <c r="L77" t="s">
        <v>23</v>
      </c>
      <c r="M77">
        <f>tblInventory[[#This Row],[Unit Cost]]*tblInventory[[#This Row],[Quantity in Stock]]</f>
        <v>64288</v>
      </c>
    </row>
    <row r="78" spans="1:13" x14ac:dyDescent="0.2">
      <c r="A78" t="s">
        <v>124</v>
      </c>
      <c r="B78" t="s">
        <v>42</v>
      </c>
      <c r="C78" t="s">
        <v>34</v>
      </c>
      <c r="D78" t="s">
        <v>40</v>
      </c>
      <c r="E78">
        <v>570</v>
      </c>
      <c r="F78">
        <v>855</v>
      </c>
      <c r="G78">
        <v>231</v>
      </c>
      <c r="H78">
        <v>50</v>
      </c>
      <c r="I78" t="s">
        <v>31</v>
      </c>
      <c r="J78" s="1">
        <v>45974</v>
      </c>
      <c r="K78" s="1">
        <v>46023</v>
      </c>
      <c r="L78" t="s">
        <v>23</v>
      </c>
      <c r="M78">
        <f>tblInventory[[#This Row],[Unit Cost]]*tblInventory[[#This Row],[Quantity in Stock]]</f>
        <v>131670</v>
      </c>
    </row>
    <row r="79" spans="1:13" x14ac:dyDescent="0.2">
      <c r="A79" t="s">
        <v>125</v>
      </c>
      <c r="B79" t="s">
        <v>33</v>
      </c>
      <c r="C79" t="s">
        <v>34</v>
      </c>
      <c r="D79" t="s">
        <v>15</v>
      </c>
      <c r="E79">
        <v>464</v>
      </c>
      <c r="F79">
        <v>696</v>
      </c>
      <c r="G79">
        <v>75</v>
      </c>
      <c r="H79">
        <v>30</v>
      </c>
      <c r="I79" t="s">
        <v>16</v>
      </c>
      <c r="J79" s="1">
        <v>45732</v>
      </c>
      <c r="K79" s="1">
        <v>45771</v>
      </c>
      <c r="L79" t="s">
        <v>23</v>
      </c>
      <c r="M79">
        <f>tblInventory[[#This Row],[Unit Cost]]*tblInventory[[#This Row],[Quantity in Stock]]</f>
        <v>34800</v>
      </c>
    </row>
    <row r="80" spans="1:13" x14ac:dyDescent="0.2">
      <c r="A80" t="s">
        <v>126</v>
      </c>
      <c r="B80" t="s">
        <v>63</v>
      </c>
      <c r="C80" t="s">
        <v>22</v>
      </c>
      <c r="D80" t="s">
        <v>19</v>
      </c>
      <c r="E80">
        <v>516</v>
      </c>
      <c r="F80">
        <v>619.20000000000005</v>
      </c>
      <c r="G80">
        <v>201</v>
      </c>
      <c r="H80">
        <v>20</v>
      </c>
      <c r="I80" t="s">
        <v>16</v>
      </c>
      <c r="J80" s="1">
        <v>46092</v>
      </c>
      <c r="K80" s="1">
        <v>46182</v>
      </c>
      <c r="L80" t="s">
        <v>23</v>
      </c>
      <c r="M80">
        <f>tblInventory[[#This Row],[Unit Cost]]*tblInventory[[#This Row],[Quantity in Stock]]</f>
        <v>103716</v>
      </c>
    </row>
    <row r="81" spans="1:13" x14ac:dyDescent="0.2">
      <c r="A81" t="s">
        <v>127</v>
      </c>
      <c r="B81" t="s">
        <v>116</v>
      </c>
      <c r="C81" t="s">
        <v>22</v>
      </c>
      <c r="D81" t="s">
        <v>40</v>
      </c>
      <c r="E81">
        <v>593</v>
      </c>
      <c r="F81">
        <v>889.5</v>
      </c>
      <c r="G81">
        <v>172</v>
      </c>
      <c r="H81">
        <v>50</v>
      </c>
      <c r="I81" t="s">
        <v>16</v>
      </c>
      <c r="J81" s="1">
        <v>46014</v>
      </c>
      <c r="K81" s="1">
        <v>46070</v>
      </c>
      <c r="L81" t="s">
        <v>23</v>
      </c>
      <c r="M81">
        <f>tblInventory[[#This Row],[Unit Cost]]*tblInventory[[#This Row],[Quantity in Stock]]</f>
        <v>101996</v>
      </c>
    </row>
    <row r="82" spans="1:13" x14ac:dyDescent="0.2">
      <c r="A82" t="s">
        <v>128</v>
      </c>
      <c r="B82" t="s">
        <v>46</v>
      </c>
      <c r="C82" t="s">
        <v>14</v>
      </c>
      <c r="D82" t="s">
        <v>19</v>
      </c>
      <c r="E82">
        <v>208</v>
      </c>
      <c r="F82">
        <v>249.6</v>
      </c>
      <c r="G82">
        <v>125</v>
      </c>
      <c r="H82">
        <v>20</v>
      </c>
      <c r="I82" t="s">
        <v>16</v>
      </c>
      <c r="J82" s="1">
        <v>46095</v>
      </c>
      <c r="K82" s="1">
        <v>46105</v>
      </c>
      <c r="L82" t="s">
        <v>23</v>
      </c>
      <c r="M82">
        <f>tblInventory[[#This Row],[Unit Cost]]*tblInventory[[#This Row],[Quantity in Stock]]</f>
        <v>26000</v>
      </c>
    </row>
    <row r="83" spans="1:13" x14ac:dyDescent="0.2">
      <c r="A83" t="s">
        <v>129</v>
      </c>
      <c r="B83" t="s">
        <v>70</v>
      </c>
      <c r="C83" t="s">
        <v>14</v>
      </c>
      <c r="D83" t="s">
        <v>19</v>
      </c>
      <c r="E83">
        <v>7</v>
      </c>
      <c r="F83">
        <v>9.1</v>
      </c>
      <c r="G83">
        <v>147</v>
      </c>
      <c r="H83">
        <v>20</v>
      </c>
      <c r="I83" t="s">
        <v>16</v>
      </c>
      <c r="J83" s="1">
        <v>45747</v>
      </c>
      <c r="K83" s="1">
        <v>45756</v>
      </c>
      <c r="L83" t="s">
        <v>23</v>
      </c>
      <c r="M83">
        <f>tblInventory[[#This Row],[Unit Cost]]*tblInventory[[#This Row],[Quantity in Stock]]</f>
        <v>1029</v>
      </c>
    </row>
    <row r="84" spans="1:13" x14ac:dyDescent="0.2">
      <c r="A84" t="s">
        <v>130</v>
      </c>
      <c r="B84" t="s">
        <v>33</v>
      </c>
      <c r="C84" t="s">
        <v>34</v>
      </c>
      <c r="D84" t="s">
        <v>35</v>
      </c>
      <c r="E84">
        <v>666</v>
      </c>
      <c r="F84">
        <v>865.8</v>
      </c>
      <c r="G84">
        <v>268</v>
      </c>
      <c r="H84">
        <v>50</v>
      </c>
      <c r="I84" t="s">
        <v>31</v>
      </c>
      <c r="J84" s="1">
        <v>45704</v>
      </c>
      <c r="K84" s="1">
        <v>45741</v>
      </c>
      <c r="L84" t="s">
        <v>23</v>
      </c>
      <c r="M84">
        <f>tblInventory[[#This Row],[Unit Cost]]*tblInventory[[#This Row],[Quantity in Stock]]</f>
        <v>178488</v>
      </c>
    </row>
    <row r="85" spans="1:13" x14ac:dyDescent="0.2">
      <c r="A85" t="s">
        <v>131</v>
      </c>
      <c r="B85" t="s">
        <v>63</v>
      </c>
      <c r="C85" t="s">
        <v>22</v>
      </c>
      <c r="D85" t="s">
        <v>30</v>
      </c>
      <c r="E85">
        <v>596</v>
      </c>
      <c r="F85">
        <v>774.8</v>
      </c>
      <c r="G85">
        <v>175</v>
      </c>
      <c r="H85">
        <v>10</v>
      </c>
      <c r="I85" t="s">
        <v>16</v>
      </c>
      <c r="J85" s="1">
        <v>46171</v>
      </c>
      <c r="K85" s="1">
        <v>46239</v>
      </c>
      <c r="L85" t="s">
        <v>23</v>
      </c>
      <c r="M85">
        <f>tblInventory[[#This Row],[Unit Cost]]*tblInventory[[#This Row],[Quantity in Stock]]</f>
        <v>104300</v>
      </c>
    </row>
    <row r="86" spans="1:13" x14ac:dyDescent="0.2">
      <c r="A86" t="s">
        <v>132</v>
      </c>
      <c r="B86" t="s">
        <v>13</v>
      </c>
      <c r="C86" t="s">
        <v>14</v>
      </c>
      <c r="D86" t="s">
        <v>15</v>
      </c>
      <c r="E86">
        <v>614</v>
      </c>
      <c r="F86">
        <v>859.6</v>
      </c>
      <c r="G86">
        <v>262</v>
      </c>
      <c r="H86">
        <v>20</v>
      </c>
      <c r="I86" t="s">
        <v>31</v>
      </c>
      <c r="J86" s="1">
        <v>45955</v>
      </c>
      <c r="K86" s="1">
        <v>45972</v>
      </c>
      <c r="L86" t="s">
        <v>23</v>
      </c>
      <c r="M86">
        <f>tblInventory[[#This Row],[Unit Cost]]*tblInventory[[#This Row],[Quantity in Stock]]</f>
        <v>160868</v>
      </c>
    </row>
    <row r="87" spans="1:13" x14ac:dyDescent="0.2">
      <c r="A87" t="s">
        <v>133</v>
      </c>
      <c r="B87" t="s">
        <v>104</v>
      </c>
      <c r="C87" t="s">
        <v>29</v>
      </c>
      <c r="D87" t="s">
        <v>26</v>
      </c>
      <c r="E87">
        <v>245</v>
      </c>
      <c r="F87">
        <v>367.5</v>
      </c>
      <c r="G87">
        <v>260</v>
      </c>
      <c r="H87">
        <v>30</v>
      </c>
      <c r="I87" t="s">
        <v>31</v>
      </c>
      <c r="J87" s="1">
        <v>45715</v>
      </c>
      <c r="K87" s="1">
        <v>45751</v>
      </c>
      <c r="L87" t="s">
        <v>23</v>
      </c>
      <c r="M87">
        <f>tblInventory[[#This Row],[Unit Cost]]*tblInventory[[#This Row],[Quantity in Stock]]</f>
        <v>63700</v>
      </c>
    </row>
    <row r="88" spans="1:13" x14ac:dyDescent="0.2">
      <c r="A88" t="s">
        <v>134</v>
      </c>
      <c r="B88" t="s">
        <v>104</v>
      </c>
      <c r="C88" t="s">
        <v>29</v>
      </c>
      <c r="D88" t="s">
        <v>40</v>
      </c>
      <c r="E88">
        <v>698</v>
      </c>
      <c r="F88">
        <v>837.6</v>
      </c>
      <c r="G88">
        <v>216</v>
      </c>
      <c r="H88">
        <v>15</v>
      </c>
      <c r="I88" t="s">
        <v>43</v>
      </c>
      <c r="J88" s="1">
        <v>46184</v>
      </c>
      <c r="K88" s="1">
        <v>46221</v>
      </c>
      <c r="L88" t="s">
        <v>23</v>
      </c>
      <c r="M88">
        <f>tblInventory[[#This Row],[Unit Cost]]*tblInventory[[#This Row],[Quantity in Stock]]</f>
        <v>150768</v>
      </c>
    </row>
    <row r="89" spans="1:13" x14ac:dyDescent="0.2">
      <c r="A89" t="s">
        <v>135</v>
      </c>
      <c r="B89" t="s">
        <v>52</v>
      </c>
      <c r="C89" t="s">
        <v>22</v>
      </c>
      <c r="D89" t="s">
        <v>19</v>
      </c>
      <c r="E89">
        <v>244</v>
      </c>
      <c r="F89">
        <v>341.6</v>
      </c>
      <c r="G89">
        <v>108</v>
      </c>
      <c r="H89">
        <v>10</v>
      </c>
      <c r="I89" t="s">
        <v>43</v>
      </c>
      <c r="J89" s="1">
        <v>46151</v>
      </c>
      <c r="K89" s="1">
        <v>46199</v>
      </c>
      <c r="L89" t="s">
        <v>23</v>
      </c>
      <c r="M89">
        <f>tblInventory[[#This Row],[Unit Cost]]*tblInventory[[#This Row],[Quantity in Stock]]</f>
        <v>26352</v>
      </c>
    </row>
    <row r="90" spans="1:13" x14ac:dyDescent="0.2">
      <c r="A90" t="s">
        <v>136</v>
      </c>
      <c r="B90" t="s">
        <v>68</v>
      </c>
      <c r="C90" t="s">
        <v>34</v>
      </c>
      <c r="D90" t="s">
        <v>35</v>
      </c>
      <c r="E90">
        <v>419</v>
      </c>
      <c r="F90">
        <v>544.70000000000005</v>
      </c>
      <c r="G90">
        <v>169</v>
      </c>
      <c r="H90">
        <v>30</v>
      </c>
      <c r="I90" t="s">
        <v>31</v>
      </c>
      <c r="J90" s="1">
        <v>45995</v>
      </c>
      <c r="K90" s="1">
        <v>46009</v>
      </c>
      <c r="L90" t="s">
        <v>23</v>
      </c>
      <c r="M90">
        <f>tblInventory[[#This Row],[Unit Cost]]*tblInventory[[#This Row],[Quantity in Stock]]</f>
        <v>70811</v>
      </c>
    </row>
    <row r="91" spans="1:13" x14ac:dyDescent="0.2">
      <c r="A91" t="s">
        <v>137</v>
      </c>
      <c r="B91" t="s">
        <v>104</v>
      </c>
      <c r="C91" t="s">
        <v>29</v>
      </c>
      <c r="D91" t="s">
        <v>35</v>
      </c>
      <c r="E91">
        <v>189</v>
      </c>
      <c r="F91">
        <v>264.60000000000002</v>
      </c>
      <c r="G91">
        <v>107</v>
      </c>
      <c r="H91">
        <v>20</v>
      </c>
      <c r="I91" t="s">
        <v>16</v>
      </c>
      <c r="J91" s="1">
        <v>46173</v>
      </c>
      <c r="K91" s="1">
        <v>46203</v>
      </c>
      <c r="L91" t="s">
        <v>23</v>
      </c>
      <c r="M91">
        <f>tblInventory[[#This Row],[Unit Cost]]*tblInventory[[#This Row],[Quantity in Stock]]</f>
        <v>20223</v>
      </c>
    </row>
    <row r="92" spans="1:13" x14ac:dyDescent="0.2">
      <c r="A92" t="s">
        <v>138</v>
      </c>
      <c r="B92" t="s">
        <v>37</v>
      </c>
      <c r="C92" t="s">
        <v>22</v>
      </c>
      <c r="D92" t="s">
        <v>30</v>
      </c>
      <c r="E92">
        <v>681</v>
      </c>
      <c r="F92">
        <v>885.3</v>
      </c>
      <c r="G92">
        <v>39</v>
      </c>
      <c r="H92">
        <v>30</v>
      </c>
      <c r="I92" t="s">
        <v>31</v>
      </c>
      <c r="J92" s="1">
        <v>45738</v>
      </c>
      <c r="K92" s="1">
        <v>45754</v>
      </c>
      <c r="L92" t="s">
        <v>23</v>
      </c>
      <c r="M92">
        <f>tblInventory[[#This Row],[Unit Cost]]*tblInventory[[#This Row],[Quantity in Stock]]</f>
        <v>26559</v>
      </c>
    </row>
    <row r="93" spans="1:13" x14ac:dyDescent="0.2">
      <c r="A93" t="s">
        <v>139</v>
      </c>
      <c r="B93" t="s">
        <v>13</v>
      </c>
      <c r="C93" t="s">
        <v>14</v>
      </c>
      <c r="D93" t="s">
        <v>30</v>
      </c>
      <c r="E93">
        <v>226</v>
      </c>
      <c r="F93">
        <v>316.39999999999998</v>
      </c>
      <c r="G93">
        <v>180</v>
      </c>
      <c r="H93">
        <v>25</v>
      </c>
      <c r="I93" t="s">
        <v>16</v>
      </c>
      <c r="J93" s="1">
        <v>45963</v>
      </c>
      <c r="K93" s="1">
        <v>46049</v>
      </c>
      <c r="L93" t="s">
        <v>23</v>
      </c>
      <c r="M93">
        <f>tblInventory[[#This Row],[Unit Cost]]*tblInventory[[#This Row],[Quantity in Stock]]</f>
        <v>40680</v>
      </c>
    </row>
    <row r="94" spans="1:13" x14ac:dyDescent="0.2">
      <c r="A94" t="s">
        <v>140</v>
      </c>
      <c r="B94" t="s">
        <v>65</v>
      </c>
      <c r="C94" t="s">
        <v>22</v>
      </c>
      <c r="D94" t="s">
        <v>40</v>
      </c>
      <c r="E94">
        <v>118</v>
      </c>
      <c r="F94">
        <v>165.2</v>
      </c>
      <c r="G94">
        <v>216</v>
      </c>
      <c r="H94">
        <v>15</v>
      </c>
      <c r="I94" t="s">
        <v>31</v>
      </c>
      <c r="J94" s="1">
        <v>45868</v>
      </c>
      <c r="K94" s="1">
        <v>45958</v>
      </c>
      <c r="L94" t="s">
        <v>23</v>
      </c>
      <c r="M94">
        <f>tblInventory[[#This Row],[Unit Cost]]*tblInventory[[#This Row],[Quantity in Stock]]</f>
        <v>25488</v>
      </c>
    </row>
    <row r="95" spans="1:13" x14ac:dyDescent="0.2">
      <c r="A95" t="s">
        <v>141</v>
      </c>
      <c r="B95" t="s">
        <v>70</v>
      </c>
      <c r="C95" t="s">
        <v>14</v>
      </c>
      <c r="D95" t="s">
        <v>26</v>
      </c>
      <c r="E95">
        <v>283</v>
      </c>
      <c r="F95">
        <v>424.5</v>
      </c>
      <c r="G95">
        <v>175</v>
      </c>
      <c r="H95">
        <v>40</v>
      </c>
      <c r="I95" t="s">
        <v>16</v>
      </c>
      <c r="J95" s="1">
        <v>45993</v>
      </c>
      <c r="K95" s="1">
        <v>46029</v>
      </c>
      <c r="L95" t="s">
        <v>23</v>
      </c>
      <c r="M95">
        <f>tblInventory[[#This Row],[Unit Cost]]*tblInventory[[#This Row],[Quantity in Stock]]</f>
        <v>49525</v>
      </c>
    </row>
    <row r="96" spans="1:13" x14ac:dyDescent="0.2">
      <c r="A96" t="s">
        <v>142</v>
      </c>
      <c r="B96" t="s">
        <v>37</v>
      </c>
      <c r="C96" t="s">
        <v>22</v>
      </c>
      <c r="D96" t="s">
        <v>40</v>
      </c>
      <c r="E96">
        <v>79</v>
      </c>
      <c r="F96">
        <v>102.7</v>
      </c>
      <c r="G96">
        <v>264</v>
      </c>
      <c r="H96">
        <v>15</v>
      </c>
      <c r="I96" t="s">
        <v>16</v>
      </c>
      <c r="J96" s="1">
        <v>46066</v>
      </c>
      <c r="K96" s="1">
        <v>46104</v>
      </c>
      <c r="L96" t="s">
        <v>23</v>
      </c>
      <c r="M96">
        <f>tblInventory[[#This Row],[Unit Cost]]*tblInventory[[#This Row],[Quantity in Stock]]</f>
        <v>20856</v>
      </c>
    </row>
    <row r="97" spans="1:13" x14ac:dyDescent="0.2">
      <c r="A97" t="s">
        <v>143</v>
      </c>
      <c r="B97" t="s">
        <v>28</v>
      </c>
      <c r="C97" t="s">
        <v>29</v>
      </c>
      <c r="D97" t="s">
        <v>15</v>
      </c>
      <c r="E97">
        <v>519</v>
      </c>
      <c r="F97">
        <v>622.79999999999995</v>
      </c>
      <c r="G97">
        <v>257</v>
      </c>
      <c r="H97">
        <v>25</v>
      </c>
      <c r="I97" t="s">
        <v>31</v>
      </c>
      <c r="J97" s="1">
        <v>46053</v>
      </c>
      <c r="K97" s="1">
        <v>46094</v>
      </c>
      <c r="L97" t="s">
        <v>23</v>
      </c>
      <c r="M97">
        <f>tblInventory[[#This Row],[Unit Cost]]*tblInventory[[#This Row],[Quantity in Stock]]</f>
        <v>133383</v>
      </c>
    </row>
    <row r="98" spans="1:13" x14ac:dyDescent="0.2">
      <c r="A98" t="s">
        <v>144</v>
      </c>
      <c r="B98" t="s">
        <v>28</v>
      </c>
      <c r="C98" t="s">
        <v>29</v>
      </c>
      <c r="D98" t="s">
        <v>26</v>
      </c>
      <c r="E98">
        <v>18</v>
      </c>
      <c r="F98">
        <v>23.4</v>
      </c>
      <c r="G98">
        <v>77</v>
      </c>
      <c r="H98">
        <v>50</v>
      </c>
      <c r="I98" t="s">
        <v>16</v>
      </c>
      <c r="J98" s="1">
        <v>46038</v>
      </c>
      <c r="K98" s="1">
        <v>46046</v>
      </c>
      <c r="L98" t="s">
        <v>23</v>
      </c>
      <c r="M98">
        <f>tblInventory[[#This Row],[Unit Cost]]*tblInventory[[#This Row],[Quantity in Stock]]</f>
        <v>1386</v>
      </c>
    </row>
    <row r="99" spans="1:13" x14ac:dyDescent="0.2">
      <c r="A99" t="s">
        <v>145</v>
      </c>
      <c r="B99" t="s">
        <v>60</v>
      </c>
      <c r="C99" t="s">
        <v>34</v>
      </c>
      <c r="D99" t="s">
        <v>40</v>
      </c>
      <c r="E99">
        <v>333</v>
      </c>
      <c r="F99">
        <v>466.2</v>
      </c>
      <c r="G99">
        <v>163</v>
      </c>
      <c r="H99">
        <v>10</v>
      </c>
      <c r="I99" t="s">
        <v>16</v>
      </c>
      <c r="J99" s="1">
        <v>45692</v>
      </c>
      <c r="K99" s="1">
        <v>45712</v>
      </c>
      <c r="L99" t="s">
        <v>23</v>
      </c>
      <c r="M99">
        <f>tblInventory[[#This Row],[Unit Cost]]*tblInventory[[#This Row],[Quantity in Stock]]</f>
        <v>54279</v>
      </c>
    </row>
    <row r="100" spans="1:13" x14ac:dyDescent="0.2">
      <c r="A100" t="s">
        <v>146</v>
      </c>
      <c r="B100" t="s">
        <v>87</v>
      </c>
      <c r="C100" t="s">
        <v>29</v>
      </c>
      <c r="D100" t="s">
        <v>35</v>
      </c>
      <c r="E100">
        <v>625</v>
      </c>
      <c r="F100">
        <v>812.5</v>
      </c>
      <c r="G100">
        <v>241</v>
      </c>
      <c r="H100">
        <v>25</v>
      </c>
      <c r="I100" t="s">
        <v>43</v>
      </c>
      <c r="J100" s="1">
        <v>45691</v>
      </c>
      <c r="K100" s="1">
        <v>45708</v>
      </c>
      <c r="L100" t="s">
        <v>23</v>
      </c>
      <c r="M100">
        <f>tblInventory[[#This Row],[Unit Cost]]*tblInventory[[#This Row],[Quantity in Stock]]</f>
        <v>150625</v>
      </c>
    </row>
    <row r="101" spans="1:13" x14ac:dyDescent="0.2">
      <c r="A101" t="s">
        <v>147</v>
      </c>
      <c r="B101" t="s">
        <v>28</v>
      </c>
      <c r="C101" t="s">
        <v>29</v>
      </c>
      <c r="D101" t="s">
        <v>40</v>
      </c>
      <c r="E101">
        <v>240</v>
      </c>
      <c r="F101">
        <v>360</v>
      </c>
      <c r="G101">
        <v>47</v>
      </c>
      <c r="H101">
        <v>40</v>
      </c>
      <c r="I101" t="s">
        <v>16</v>
      </c>
      <c r="J101" s="1">
        <v>45948</v>
      </c>
      <c r="K101" s="1">
        <v>46013</v>
      </c>
      <c r="L101" t="s">
        <v>23</v>
      </c>
      <c r="M101">
        <f>tblInventory[[#This Row],[Unit Cost]]*tblInventory[[#This Row],[Quantity in Stock]]</f>
        <v>11280</v>
      </c>
    </row>
    <row r="102" spans="1:13" x14ac:dyDescent="0.2">
      <c r="A102" t="s">
        <v>148</v>
      </c>
      <c r="B102" t="s">
        <v>68</v>
      </c>
      <c r="C102" t="s">
        <v>34</v>
      </c>
      <c r="D102" t="s">
        <v>19</v>
      </c>
      <c r="E102">
        <v>518</v>
      </c>
      <c r="F102">
        <v>725.2</v>
      </c>
      <c r="G102">
        <v>68</v>
      </c>
      <c r="H102">
        <v>20</v>
      </c>
      <c r="I102" t="s">
        <v>16</v>
      </c>
      <c r="J102" s="1">
        <v>45878</v>
      </c>
      <c r="K102" s="1">
        <v>45906</v>
      </c>
      <c r="L102" t="s">
        <v>23</v>
      </c>
      <c r="M102">
        <f>tblInventory[[#This Row],[Unit Cost]]*tblInventory[[#This Row],[Quantity in Stock]]</f>
        <v>35224</v>
      </c>
    </row>
    <row r="103" spans="1:13" x14ac:dyDescent="0.2">
      <c r="A103" t="s">
        <v>149</v>
      </c>
      <c r="B103" t="s">
        <v>74</v>
      </c>
      <c r="C103" t="s">
        <v>29</v>
      </c>
      <c r="D103" t="s">
        <v>35</v>
      </c>
      <c r="E103">
        <v>188</v>
      </c>
      <c r="F103">
        <v>244.4</v>
      </c>
      <c r="G103">
        <v>83</v>
      </c>
      <c r="H103">
        <v>50</v>
      </c>
      <c r="I103" t="s">
        <v>16</v>
      </c>
      <c r="J103" s="1">
        <v>45858</v>
      </c>
      <c r="K103" s="1">
        <v>45880</v>
      </c>
      <c r="L103" t="s">
        <v>23</v>
      </c>
      <c r="M103">
        <f>tblInventory[[#This Row],[Unit Cost]]*tblInventory[[#This Row],[Quantity in Stock]]</f>
        <v>15604</v>
      </c>
    </row>
    <row r="104" spans="1:13" x14ac:dyDescent="0.2">
      <c r="A104" t="s">
        <v>150</v>
      </c>
      <c r="B104" t="s">
        <v>28</v>
      </c>
      <c r="C104" t="s">
        <v>29</v>
      </c>
      <c r="D104" t="s">
        <v>26</v>
      </c>
      <c r="E104">
        <v>643</v>
      </c>
      <c r="F104">
        <v>835.9</v>
      </c>
      <c r="G104">
        <v>279</v>
      </c>
      <c r="H104">
        <v>30</v>
      </c>
      <c r="I104" t="s">
        <v>31</v>
      </c>
      <c r="J104" s="1">
        <v>46075</v>
      </c>
      <c r="K104" s="1">
        <v>46151</v>
      </c>
      <c r="L104" t="s">
        <v>23</v>
      </c>
      <c r="M104">
        <f>tblInventory[[#This Row],[Unit Cost]]*tblInventory[[#This Row],[Quantity in Stock]]</f>
        <v>179397</v>
      </c>
    </row>
    <row r="105" spans="1:13" x14ac:dyDescent="0.2">
      <c r="A105" t="s">
        <v>151</v>
      </c>
      <c r="B105" t="s">
        <v>25</v>
      </c>
      <c r="C105" t="s">
        <v>14</v>
      </c>
      <c r="D105" t="s">
        <v>15</v>
      </c>
      <c r="E105">
        <v>555</v>
      </c>
      <c r="F105">
        <v>721.5</v>
      </c>
      <c r="G105">
        <v>300</v>
      </c>
      <c r="H105">
        <v>15</v>
      </c>
      <c r="I105" t="s">
        <v>31</v>
      </c>
      <c r="J105" s="1">
        <v>45791</v>
      </c>
      <c r="K105" s="1">
        <v>45860</v>
      </c>
      <c r="L105" t="s">
        <v>23</v>
      </c>
      <c r="M105">
        <f>tblInventory[[#This Row],[Unit Cost]]*tblInventory[[#This Row],[Quantity in Stock]]</f>
        <v>166500</v>
      </c>
    </row>
    <row r="106" spans="1:13" x14ac:dyDescent="0.2">
      <c r="A106" t="s">
        <v>152</v>
      </c>
      <c r="B106" t="s">
        <v>153</v>
      </c>
      <c r="C106" t="s">
        <v>34</v>
      </c>
      <c r="D106" t="s">
        <v>26</v>
      </c>
      <c r="E106">
        <v>364</v>
      </c>
      <c r="F106">
        <v>509.6</v>
      </c>
      <c r="G106">
        <v>147</v>
      </c>
      <c r="H106">
        <v>10</v>
      </c>
      <c r="I106" t="s">
        <v>43</v>
      </c>
      <c r="J106" s="1">
        <v>45788</v>
      </c>
      <c r="K106" s="1">
        <v>45837</v>
      </c>
      <c r="L106" t="s">
        <v>23</v>
      </c>
      <c r="M106">
        <f>tblInventory[[#This Row],[Unit Cost]]*tblInventory[[#This Row],[Quantity in Stock]]</f>
        <v>53508</v>
      </c>
    </row>
    <row r="107" spans="1:13" x14ac:dyDescent="0.2">
      <c r="A107" t="s">
        <v>154</v>
      </c>
      <c r="B107" t="s">
        <v>104</v>
      </c>
      <c r="C107" t="s">
        <v>29</v>
      </c>
      <c r="D107" t="s">
        <v>40</v>
      </c>
      <c r="E107">
        <v>219</v>
      </c>
      <c r="F107">
        <v>328.5</v>
      </c>
      <c r="G107">
        <v>92</v>
      </c>
      <c r="H107">
        <v>10</v>
      </c>
      <c r="I107" t="s">
        <v>43</v>
      </c>
      <c r="J107" s="1">
        <v>45700</v>
      </c>
      <c r="K107" s="1">
        <v>45739</v>
      </c>
      <c r="L107" t="s">
        <v>23</v>
      </c>
      <c r="M107">
        <f>tblInventory[[#This Row],[Unit Cost]]*tblInventory[[#This Row],[Quantity in Stock]]</f>
        <v>20148</v>
      </c>
    </row>
    <row r="108" spans="1:13" x14ac:dyDescent="0.2">
      <c r="A108" t="s">
        <v>155</v>
      </c>
      <c r="B108" t="s">
        <v>60</v>
      </c>
      <c r="C108" t="s">
        <v>34</v>
      </c>
      <c r="D108" t="s">
        <v>19</v>
      </c>
      <c r="E108">
        <v>454</v>
      </c>
      <c r="F108">
        <v>635.6</v>
      </c>
      <c r="G108">
        <v>289</v>
      </c>
      <c r="H108">
        <v>15</v>
      </c>
      <c r="I108" t="s">
        <v>43</v>
      </c>
      <c r="J108" s="1">
        <v>45819</v>
      </c>
      <c r="K108" s="1">
        <v>45888</v>
      </c>
      <c r="L108" t="s">
        <v>23</v>
      </c>
      <c r="M108">
        <f>tblInventory[[#This Row],[Unit Cost]]*tblInventory[[#This Row],[Quantity in Stock]]</f>
        <v>131206</v>
      </c>
    </row>
    <row r="109" spans="1:13" x14ac:dyDescent="0.2">
      <c r="A109" t="s">
        <v>156</v>
      </c>
      <c r="B109" t="s">
        <v>48</v>
      </c>
      <c r="C109" t="s">
        <v>14</v>
      </c>
      <c r="D109" t="s">
        <v>30</v>
      </c>
      <c r="E109">
        <v>242</v>
      </c>
      <c r="F109">
        <v>290.39999999999998</v>
      </c>
      <c r="G109">
        <v>153</v>
      </c>
      <c r="H109">
        <v>25</v>
      </c>
      <c r="I109" t="s">
        <v>16</v>
      </c>
      <c r="J109" s="1">
        <v>45860</v>
      </c>
      <c r="K109" s="1">
        <v>45893</v>
      </c>
      <c r="L109" t="s">
        <v>23</v>
      </c>
      <c r="M109">
        <f>tblInventory[[#This Row],[Unit Cost]]*tblInventory[[#This Row],[Quantity in Stock]]</f>
        <v>37026</v>
      </c>
    </row>
    <row r="110" spans="1:13" x14ac:dyDescent="0.2">
      <c r="A110" t="s">
        <v>157</v>
      </c>
      <c r="B110" t="s">
        <v>68</v>
      </c>
      <c r="C110" t="s">
        <v>34</v>
      </c>
      <c r="D110" t="s">
        <v>26</v>
      </c>
      <c r="E110">
        <v>593</v>
      </c>
      <c r="F110">
        <v>889.5</v>
      </c>
      <c r="G110">
        <v>93</v>
      </c>
      <c r="H110">
        <v>10</v>
      </c>
      <c r="I110" t="s">
        <v>16</v>
      </c>
      <c r="J110" s="1">
        <v>46191</v>
      </c>
      <c r="K110" s="1">
        <v>46221</v>
      </c>
      <c r="L110" t="s">
        <v>23</v>
      </c>
      <c r="M110">
        <f>tblInventory[[#This Row],[Unit Cost]]*tblInventory[[#This Row],[Quantity in Stock]]</f>
        <v>55149</v>
      </c>
    </row>
    <row r="111" spans="1:13" x14ac:dyDescent="0.2">
      <c r="A111" t="s">
        <v>158</v>
      </c>
      <c r="B111" t="s">
        <v>68</v>
      </c>
      <c r="C111" t="s">
        <v>34</v>
      </c>
      <c r="D111" t="s">
        <v>30</v>
      </c>
      <c r="E111">
        <v>386</v>
      </c>
      <c r="F111">
        <v>463.2</v>
      </c>
      <c r="G111">
        <v>88</v>
      </c>
      <c r="H111">
        <v>30</v>
      </c>
      <c r="I111" t="s">
        <v>43</v>
      </c>
      <c r="J111" s="1">
        <v>45770</v>
      </c>
      <c r="K111" s="1">
        <v>45778</v>
      </c>
      <c r="L111" t="s">
        <v>23</v>
      </c>
      <c r="M111">
        <f>tblInventory[[#This Row],[Unit Cost]]*tblInventory[[#This Row],[Quantity in Stock]]</f>
        <v>33968</v>
      </c>
    </row>
    <row r="112" spans="1:13" x14ac:dyDescent="0.2">
      <c r="A112" t="s">
        <v>159</v>
      </c>
      <c r="B112" t="s">
        <v>13</v>
      </c>
      <c r="C112" t="s">
        <v>14</v>
      </c>
      <c r="D112" t="s">
        <v>19</v>
      </c>
      <c r="E112">
        <v>242</v>
      </c>
      <c r="F112">
        <v>338.8</v>
      </c>
      <c r="G112">
        <v>127</v>
      </c>
      <c r="H112">
        <v>20</v>
      </c>
      <c r="I112" t="s">
        <v>16</v>
      </c>
      <c r="J112" s="1">
        <v>46022</v>
      </c>
      <c r="K112" s="1">
        <v>46034</v>
      </c>
      <c r="L112" t="s">
        <v>23</v>
      </c>
      <c r="M112">
        <f>tblInventory[[#This Row],[Unit Cost]]*tblInventory[[#This Row],[Quantity in Stock]]</f>
        <v>30734</v>
      </c>
    </row>
    <row r="113" spans="1:13" x14ac:dyDescent="0.2">
      <c r="A113" t="s">
        <v>160</v>
      </c>
      <c r="B113" t="s">
        <v>161</v>
      </c>
      <c r="C113" t="s">
        <v>34</v>
      </c>
      <c r="D113" t="s">
        <v>40</v>
      </c>
      <c r="E113">
        <v>117</v>
      </c>
      <c r="F113">
        <v>175.5</v>
      </c>
      <c r="G113">
        <v>227</v>
      </c>
      <c r="H113">
        <v>10</v>
      </c>
      <c r="I113" t="s">
        <v>16</v>
      </c>
      <c r="J113" s="1">
        <v>45760</v>
      </c>
      <c r="K113" s="1">
        <v>45803</v>
      </c>
      <c r="L113" t="s">
        <v>23</v>
      </c>
      <c r="M113">
        <f>tblInventory[[#This Row],[Unit Cost]]*tblInventory[[#This Row],[Quantity in Stock]]</f>
        <v>26559</v>
      </c>
    </row>
    <row r="114" spans="1:13" x14ac:dyDescent="0.2">
      <c r="A114" t="s">
        <v>162</v>
      </c>
      <c r="B114" t="s">
        <v>46</v>
      </c>
      <c r="C114" t="s">
        <v>14</v>
      </c>
      <c r="D114" t="s">
        <v>40</v>
      </c>
      <c r="E114">
        <v>653</v>
      </c>
      <c r="F114">
        <v>848.9</v>
      </c>
      <c r="G114">
        <v>17</v>
      </c>
      <c r="H114">
        <v>10</v>
      </c>
      <c r="I114" t="s">
        <v>43</v>
      </c>
      <c r="J114" s="1">
        <v>46066</v>
      </c>
      <c r="K114" s="1">
        <v>46127</v>
      </c>
      <c r="L114" t="s">
        <v>23</v>
      </c>
      <c r="M114">
        <f>tblInventory[[#This Row],[Unit Cost]]*tblInventory[[#This Row],[Quantity in Stock]]</f>
        <v>11101</v>
      </c>
    </row>
    <row r="115" spans="1:13" x14ac:dyDescent="0.2">
      <c r="A115" t="s">
        <v>163</v>
      </c>
      <c r="B115" t="s">
        <v>153</v>
      </c>
      <c r="C115" t="s">
        <v>34</v>
      </c>
      <c r="D115" t="s">
        <v>35</v>
      </c>
      <c r="E115">
        <v>469</v>
      </c>
      <c r="F115">
        <v>609.70000000000005</v>
      </c>
      <c r="G115">
        <v>283</v>
      </c>
      <c r="H115">
        <v>50</v>
      </c>
      <c r="I115" t="s">
        <v>31</v>
      </c>
      <c r="J115" s="1">
        <v>45742</v>
      </c>
      <c r="K115" s="1">
        <v>45790</v>
      </c>
      <c r="L115" t="s">
        <v>23</v>
      </c>
      <c r="M115">
        <f>tblInventory[[#This Row],[Unit Cost]]*tblInventory[[#This Row],[Quantity in Stock]]</f>
        <v>132727</v>
      </c>
    </row>
    <row r="116" spans="1:13" x14ac:dyDescent="0.2">
      <c r="A116" t="s">
        <v>164</v>
      </c>
      <c r="B116" t="s">
        <v>21</v>
      </c>
      <c r="C116" t="s">
        <v>22</v>
      </c>
      <c r="D116" t="s">
        <v>15</v>
      </c>
      <c r="E116">
        <v>619</v>
      </c>
      <c r="F116">
        <v>742.8</v>
      </c>
      <c r="G116">
        <v>39</v>
      </c>
      <c r="H116">
        <v>20</v>
      </c>
      <c r="I116" t="s">
        <v>16</v>
      </c>
      <c r="J116" s="1">
        <v>45969</v>
      </c>
      <c r="K116" s="1">
        <v>46001</v>
      </c>
      <c r="L116" t="s">
        <v>23</v>
      </c>
      <c r="M116">
        <f>tblInventory[[#This Row],[Unit Cost]]*tblInventory[[#This Row],[Quantity in Stock]]</f>
        <v>24141</v>
      </c>
    </row>
    <row r="117" spans="1:13" x14ac:dyDescent="0.2">
      <c r="A117" t="s">
        <v>165</v>
      </c>
      <c r="B117" t="s">
        <v>52</v>
      </c>
      <c r="C117" t="s">
        <v>22</v>
      </c>
      <c r="D117" t="s">
        <v>15</v>
      </c>
      <c r="E117">
        <v>101</v>
      </c>
      <c r="F117">
        <v>121.2</v>
      </c>
      <c r="G117">
        <v>239</v>
      </c>
      <c r="H117">
        <v>30</v>
      </c>
      <c r="I117" t="s">
        <v>31</v>
      </c>
      <c r="J117" s="1">
        <v>46121</v>
      </c>
      <c r="K117" s="1">
        <v>46171</v>
      </c>
      <c r="L117" t="s">
        <v>23</v>
      </c>
      <c r="M117">
        <f>tblInventory[[#This Row],[Unit Cost]]*tblInventory[[#This Row],[Quantity in Stock]]</f>
        <v>24139</v>
      </c>
    </row>
    <row r="118" spans="1:13" x14ac:dyDescent="0.2">
      <c r="A118" t="s">
        <v>166</v>
      </c>
      <c r="B118" t="s">
        <v>68</v>
      </c>
      <c r="C118" t="s">
        <v>34</v>
      </c>
      <c r="D118" t="s">
        <v>15</v>
      </c>
      <c r="E118">
        <v>66</v>
      </c>
      <c r="F118">
        <v>79.2</v>
      </c>
      <c r="G118">
        <v>30</v>
      </c>
      <c r="H118">
        <v>40</v>
      </c>
      <c r="I118" t="s">
        <v>16</v>
      </c>
      <c r="J118" s="1">
        <v>45679</v>
      </c>
      <c r="K118" s="1">
        <v>45742</v>
      </c>
      <c r="L118" t="s">
        <v>17</v>
      </c>
      <c r="M118">
        <f>tblInventory[[#This Row],[Unit Cost]]*tblInventory[[#This Row],[Quantity in Stock]]</f>
        <v>1980</v>
      </c>
    </row>
    <row r="119" spans="1:13" x14ac:dyDescent="0.2">
      <c r="A119" t="s">
        <v>167</v>
      </c>
      <c r="B119" t="s">
        <v>87</v>
      </c>
      <c r="C119" t="s">
        <v>29</v>
      </c>
      <c r="D119" t="s">
        <v>15</v>
      </c>
      <c r="E119">
        <v>131</v>
      </c>
      <c r="F119">
        <v>196.5</v>
      </c>
      <c r="G119">
        <v>157</v>
      </c>
      <c r="H119">
        <v>10</v>
      </c>
      <c r="I119" t="s">
        <v>43</v>
      </c>
      <c r="J119" s="1">
        <v>45893</v>
      </c>
      <c r="K119" s="1">
        <v>45918</v>
      </c>
      <c r="L119" t="s">
        <v>23</v>
      </c>
      <c r="M119">
        <f>tblInventory[[#This Row],[Unit Cost]]*tblInventory[[#This Row],[Quantity in Stock]]</f>
        <v>20567</v>
      </c>
    </row>
    <row r="120" spans="1:13" x14ac:dyDescent="0.2">
      <c r="A120" t="s">
        <v>168</v>
      </c>
      <c r="B120" t="s">
        <v>52</v>
      </c>
      <c r="C120" t="s">
        <v>22</v>
      </c>
      <c r="D120" t="s">
        <v>40</v>
      </c>
      <c r="E120">
        <v>27</v>
      </c>
      <c r="F120">
        <v>40.5</v>
      </c>
      <c r="G120">
        <v>261</v>
      </c>
      <c r="H120">
        <v>40</v>
      </c>
      <c r="I120" t="s">
        <v>31</v>
      </c>
      <c r="J120" s="1">
        <v>46061</v>
      </c>
      <c r="K120" s="1">
        <v>46096</v>
      </c>
      <c r="L120" t="s">
        <v>23</v>
      </c>
      <c r="M120">
        <f>tblInventory[[#This Row],[Unit Cost]]*tblInventory[[#This Row],[Quantity in Stock]]</f>
        <v>7047</v>
      </c>
    </row>
    <row r="121" spans="1:13" x14ac:dyDescent="0.2">
      <c r="A121" t="s">
        <v>169</v>
      </c>
      <c r="B121" t="s">
        <v>70</v>
      </c>
      <c r="C121" t="s">
        <v>14</v>
      </c>
      <c r="D121" t="s">
        <v>35</v>
      </c>
      <c r="E121">
        <v>539</v>
      </c>
      <c r="F121">
        <v>808.5</v>
      </c>
      <c r="G121">
        <v>259</v>
      </c>
      <c r="H121">
        <v>20</v>
      </c>
      <c r="I121" t="s">
        <v>16</v>
      </c>
      <c r="J121" s="1">
        <v>45728</v>
      </c>
      <c r="K121" s="1">
        <v>45754</v>
      </c>
      <c r="L121" t="s">
        <v>23</v>
      </c>
      <c r="M121">
        <f>tblInventory[[#This Row],[Unit Cost]]*tblInventory[[#This Row],[Quantity in Stock]]</f>
        <v>139601</v>
      </c>
    </row>
    <row r="122" spans="1:13" x14ac:dyDescent="0.2">
      <c r="A122" t="s">
        <v>170</v>
      </c>
      <c r="B122" t="s">
        <v>57</v>
      </c>
      <c r="C122" t="s">
        <v>29</v>
      </c>
      <c r="D122" t="s">
        <v>30</v>
      </c>
      <c r="E122">
        <v>343</v>
      </c>
      <c r="F122">
        <v>411.6</v>
      </c>
      <c r="G122">
        <v>238</v>
      </c>
      <c r="H122">
        <v>15</v>
      </c>
      <c r="I122" t="s">
        <v>16</v>
      </c>
      <c r="J122" s="1">
        <v>45812</v>
      </c>
      <c r="K122" s="1">
        <v>45836</v>
      </c>
      <c r="L122" t="s">
        <v>23</v>
      </c>
      <c r="M122">
        <f>tblInventory[[#This Row],[Unit Cost]]*tblInventory[[#This Row],[Quantity in Stock]]</f>
        <v>81634</v>
      </c>
    </row>
    <row r="123" spans="1:13" x14ac:dyDescent="0.2">
      <c r="A123" t="s">
        <v>171</v>
      </c>
      <c r="B123" t="s">
        <v>57</v>
      </c>
      <c r="C123" t="s">
        <v>29</v>
      </c>
      <c r="D123" t="s">
        <v>40</v>
      </c>
      <c r="E123">
        <v>399</v>
      </c>
      <c r="F123">
        <v>598.5</v>
      </c>
      <c r="G123">
        <v>297</v>
      </c>
      <c r="H123">
        <v>20</v>
      </c>
      <c r="I123" t="s">
        <v>16</v>
      </c>
      <c r="J123" s="1">
        <v>46105</v>
      </c>
      <c r="K123" s="1">
        <v>46135</v>
      </c>
      <c r="L123" t="s">
        <v>23</v>
      </c>
      <c r="M123">
        <f>tblInventory[[#This Row],[Unit Cost]]*tblInventory[[#This Row],[Quantity in Stock]]</f>
        <v>118503</v>
      </c>
    </row>
    <row r="124" spans="1:13" x14ac:dyDescent="0.2">
      <c r="A124" t="s">
        <v>172</v>
      </c>
      <c r="B124" t="s">
        <v>42</v>
      </c>
      <c r="C124" t="s">
        <v>34</v>
      </c>
      <c r="D124" t="s">
        <v>26</v>
      </c>
      <c r="E124">
        <v>601</v>
      </c>
      <c r="F124">
        <v>841.4</v>
      </c>
      <c r="G124">
        <v>193</v>
      </c>
      <c r="H124">
        <v>10</v>
      </c>
      <c r="I124" t="s">
        <v>43</v>
      </c>
      <c r="J124" s="1">
        <v>46070</v>
      </c>
      <c r="K124" s="1">
        <v>46089</v>
      </c>
      <c r="L124" t="s">
        <v>23</v>
      </c>
      <c r="M124">
        <f>tblInventory[[#This Row],[Unit Cost]]*tblInventory[[#This Row],[Quantity in Stock]]</f>
        <v>115993</v>
      </c>
    </row>
    <row r="125" spans="1:13" x14ac:dyDescent="0.2">
      <c r="A125" t="s">
        <v>173</v>
      </c>
      <c r="B125" t="s">
        <v>116</v>
      </c>
      <c r="C125" t="s">
        <v>22</v>
      </c>
      <c r="D125" t="s">
        <v>15</v>
      </c>
      <c r="E125">
        <v>333</v>
      </c>
      <c r="F125">
        <v>399.6</v>
      </c>
      <c r="G125">
        <v>286</v>
      </c>
      <c r="H125">
        <v>20</v>
      </c>
      <c r="I125" t="s">
        <v>31</v>
      </c>
      <c r="J125" s="1">
        <v>45927</v>
      </c>
      <c r="K125" s="1">
        <v>45928</v>
      </c>
      <c r="L125" t="s">
        <v>23</v>
      </c>
      <c r="M125">
        <f>tblInventory[[#This Row],[Unit Cost]]*tblInventory[[#This Row],[Quantity in Stock]]</f>
        <v>95238</v>
      </c>
    </row>
    <row r="126" spans="1:13" x14ac:dyDescent="0.2">
      <c r="A126" t="s">
        <v>174</v>
      </c>
      <c r="B126" t="s">
        <v>33</v>
      </c>
      <c r="C126" t="s">
        <v>34</v>
      </c>
      <c r="D126" t="s">
        <v>26</v>
      </c>
      <c r="E126">
        <v>387</v>
      </c>
      <c r="F126">
        <v>541.79999999999995</v>
      </c>
      <c r="G126">
        <v>222</v>
      </c>
      <c r="H126">
        <v>15</v>
      </c>
      <c r="I126" t="s">
        <v>16</v>
      </c>
      <c r="J126" s="1">
        <v>46090</v>
      </c>
      <c r="K126" s="1">
        <v>46134</v>
      </c>
      <c r="L126" t="s">
        <v>23</v>
      </c>
      <c r="M126">
        <f>tblInventory[[#This Row],[Unit Cost]]*tblInventory[[#This Row],[Quantity in Stock]]</f>
        <v>85914</v>
      </c>
    </row>
    <row r="127" spans="1:13" x14ac:dyDescent="0.2">
      <c r="A127" t="s">
        <v>175</v>
      </c>
      <c r="B127" t="s">
        <v>87</v>
      </c>
      <c r="C127" t="s">
        <v>29</v>
      </c>
      <c r="D127" t="s">
        <v>35</v>
      </c>
      <c r="E127">
        <v>660</v>
      </c>
      <c r="F127">
        <v>924</v>
      </c>
      <c r="G127">
        <v>223</v>
      </c>
      <c r="H127">
        <v>50</v>
      </c>
      <c r="I127" t="s">
        <v>31</v>
      </c>
      <c r="J127" s="1">
        <v>45943</v>
      </c>
      <c r="K127" s="1">
        <v>46005</v>
      </c>
      <c r="L127" t="s">
        <v>23</v>
      </c>
      <c r="M127">
        <f>tblInventory[[#This Row],[Unit Cost]]*tblInventory[[#This Row],[Quantity in Stock]]</f>
        <v>147180</v>
      </c>
    </row>
    <row r="128" spans="1:13" x14ac:dyDescent="0.2">
      <c r="A128" t="s">
        <v>176</v>
      </c>
      <c r="B128" t="s">
        <v>70</v>
      </c>
      <c r="C128" t="s">
        <v>14</v>
      </c>
      <c r="D128" t="s">
        <v>19</v>
      </c>
      <c r="E128">
        <v>513</v>
      </c>
      <c r="F128">
        <v>666.9</v>
      </c>
      <c r="G128">
        <v>135</v>
      </c>
      <c r="H128">
        <v>20</v>
      </c>
      <c r="I128" t="s">
        <v>16</v>
      </c>
      <c r="J128" s="1">
        <v>45864</v>
      </c>
      <c r="K128" s="1">
        <v>45886</v>
      </c>
      <c r="L128" t="s">
        <v>23</v>
      </c>
      <c r="M128">
        <f>tblInventory[[#This Row],[Unit Cost]]*tblInventory[[#This Row],[Quantity in Stock]]</f>
        <v>69255</v>
      </c>
    </row>
    <row r="129" spans="1:13" x14ac:dyDescent="0.2">
      <c r="A129" t="s">
        <v>177</v>
      </c>
      <c r="B129" t="s">
        <v>116</v>
      </c>
      <c r="C129" t="s">
        <v>22</v>
      </c>
      <c r="D129" t="s">
        <v>15</v>
      </c>
      <c r="E129">
        <v>424</v>
      </c>
      <c r="F129">
        <v>508.8</v>
      </c>
      <c r="G129">
        <v>154</v>
      </c>
      <c r="H129">
        <v>10</v>
      </c>
      <c r="I129" t="s">
        <v>16</v>
      </c>
      <c r="J129" s="1">
        <v>46040</v>
      </c>
      <c r="K129" s="1">
        <v>46081</v>
      </c>
      <c r="L129" t="s">
        <v>23</v>
      </c>
      <c r="M129">
        <f>tblInventory[[#This Row],[Unit Cost]]*tblInventory[[#This Row],[Quantity in Stock]]</f>
        <v>65296</v>
      </c>
    </row>
    <row r="130" spans="1:13" x14ac:dyDescent="0.2">
      <c r="A130" t="s">
        <v>178</v>
      </c>
      <c r="B130" t="s">
        <v>65</v>
      </c>
      <c r="C130" t="s">
        <v>22</v>
      </c>
      <c r="D130" t="s">
        <v>30</v>
      </c>
      <c r="E130">
        <v>440</v>
      </c>
      <c r="F130">
        <v>528</v>
      </c>
      <c r="G130">
        <v>212</v>
      </c>
      <c r="H130">
        <v>15</v>
      </c>
      <c r="I130" t="s">
        <v>31</v>
      </c>
      <c r="J130" s="1">
        <v>45788</v>
      </c>
      <c r="K130" s="1">
        <v>45874</v>
      </c>
      <c r="L130" t="s">
        <v>23</v>
      </c>
      <c r="M130">
        <f>tblInventory[[#This Row],[Unit Cost]]*tblInventory[[#This Row],[Quantity in Stock]]</f>
        <v>93280</v>
      </c>
    </row>
    <row r="131" spans="1:13" x14ac:dyDescent="0.2">
      <c r="A131" t="s">
        <v>179</v>
      </c>
      <c r="B131" t="s">
        <v>161</v>
      </c>
      <c r="C131" t="s">
        <v>34</v>
      </c>
      <c r="D131" t="s">
        <v>19</v>
      </c>
      <c r="E131">
        <v>496</v>
      </c>
      <c r="F131">
        <v>694.4</v>
      </c>
      <c r="G131">
        <v>286</v>
      </c>
      <c r="H131">
        <v>15</v>
      </c>
      <c r="I131" t="s">
        <v>16</v>
      </c>
      <c r="J131" s="1">
        <v>45791</v>
      </c>
      <c r="K131" s="1">
        <v>45857</v>
      </c>
      <c r="L131" t="s">
        <v>23</v>
      </c>
      <c r="M131">
        <f>tblInventory[[#This Row],[Unit Cost]]*tblInventory[[#This Row],[Quantity in Stock]]</f>
        <v>141856</v>
      </c>
    </row>
    <row r="132" spans="1:13" x14ac:dyDescent="0.2">
      <c r="A132" t="s">
        <v>180</v>
      </c>
      <c r="B132" t="s">
        <v>13</v>
      </c>
      <c r="C132" t="s">
        <v>14</v>
      </c>
      <c r="D132" t="s">
        <v>35</v>
      </c>
      <c r="E132">
        <v>28</v>
      </c>
      <c r="F132">
        <v>42</v>
      </c>
      <c r="G132">
        <v>130</v>
      </c>
      <c r="H132">
        <v>50</v>
      </c>
      <c r="I132" t="s">
        <v>16</v>
      </c>
      <c r="J132" s="1">
        <v>45896</v>
      </c>
      <c r="K132" s="1">
        <v>45970</v>
      </c>
      <c r="L132" t="s">
        <v>23</v>
      </c>
      <c r="M132">
        <f>tblInventory[[#This Row],[Unit Cost]]*tblInventory[[#This Row],[Quantity in Stock]]</f>
        <v>3640</v>
      </c>
    </row>
    <row r="133" spans="1:13" x14ac:dyDescent="0.2">
      <c r="A133" t="s">
        <v>181</v>
      </c>
      <c r="B133" t="s">
        <v>116</v>
      </c>
      <c r="C133" t="s">
        <v>22</v>
      </c>
      <c r="D133" t="s">
        <v>26</v>
      </c>
      <c r="E133">
        <v>413</v>
      </c>
      <c r="F133">
        <v>536.9</v>
      </c>
      <c r="G133">
        <v>49</v>
      </c>
      <c r="H133">
        <v>30</v>
      </c>
      <c r="I133" t="s">
        <v>31</v>
      </c>
      <c r="J133" s="1">
        <v>45785</v>
      </c>
      <c r="K133" s="1">
        <v>45802</v>
      </c>
      <c r="L133" t="s">
        <v>23</v>
      </c>
      <c r="M133">
        <f>tblInventory[[#This Row],[Unit Cost]]*tblInventory[[#This Row],[Quantity in Stock]]</f>
        <v>20237</v>
      </c>
    </row>
    <row r="134" spans="1:13" x14ac:dyDescent="0.2">
      <c r="A134" t="s">
        <v>182</v>
      </c>
      <c r="B134" t="s">
        <v>25</v>
      </c>
      <c r="C134" t="s">
        <v>14</v>
      </c>
      <c r="D134" t="s">
        <v>26</v>
      </c>
      <c r="E134">
        <v>500</v>
      </c>
      <c r="F134">
        <v>700</v>
      </c>
      <c r="G134">
        <v>214</v>
      </c>
      <c r="H134">
        <v>20</v>
      </c>
      <c r="I134" t="s">
        <v>31</v>
      </c>
      <c r="J134" s="1">
        <v>45705</v>
      </c>
      <c r="K134" s="1">
        <v>45756</v>
      </c>
      <c r="L134" t="s">
        <v>23</v>
      </c>
      <c r="M134">
        <f>tblInventory[[#This Row],[Unit Cost]]*tblInventory[[#This Row],[Quantity in Stock]]</f>
        <v>107000</v>
      </c>
    </row>
    <row r="135" spans="1:13" x14ac:dyDescent="0.2">
      <c r="A135" t="s">
        <v>183</v>
      </c>
      <c r="B135" t="s">
        <v>52</v>
      </c>
      <c r="C135" t="s">
        <v>22</v>
      </c>
      <c r="D135" t="s">
        <v>19</v>
      </c>
      <c r="E135">
        <v>371</v>
      </c>
      <c r="F135">
        <v>556.5</v>
      </c>
      <c r="G135">
        <v>184</v>
      </c>
      <c r="H135">
        <v>20</v>
      </c>
      <c r="I135" t="s">
        <v>31</v>
      </c>
      <c r="J135" s="1">
        <v>45674</v>
      </c>
      <c r="K135" s="1">
        <v>45734</v>
      </c>
      <c r="L135" t="s">
        <v>23</v>
      </c>
      <c r="M135">
        <f>tblInventory[[#This Row],[Unit Cost]]*tblInventory[[#This Row],[Quantity in Stock]]</f>
        <v>68264</v>
      </c>
    </row>
    <row r="136" spans="1:13" x14ac:dyDescent="0.2">
      <c r="A136" t="s">
        <v>184</v>
      </c>
      <c r="B136" t="s">
        <v>63</v>
      </c>
      <c r="C136" t="s">
        <v>22</v>
      </c>
      <c r="D136" t="s">
        <v>15</v>
      </c>
      <c r="E136">
        <v>632</v>
      </c>
      <c r="F136">
        <v>948</v>
      </c>
      <c r="G136">
        <v>143</v>
      </c>
      <c r="H136">
        <v>40</v>
      </c>
      <c r="I136" t="s">
        <v>16</v>
      </c>
      <c r="J136" s="1">
        <v>45740</v>
      </c>
      <c r="K136" s="1">
        <v>45768</v>
      </c>
      <c r="L136" t="s">
        <v>23</v>
      </c>
      <c r="M136">
        <f>tblInventory[[#This Row],[Unit Cost]]*tblInventory[[#This Row],[Quantity in Stock]]</f>
        <v>90376</v>
      </c>
    </row>
    <row r="137" spans="1:13" x14ac:dyDescent="0.2">
      <c r="A137" t="s">
        <v>185</v>
      </c>
      <c r="B137" t="s">
        <v>65</v>
      </c>
      <c r="C137" t="s">
        <v>22</v>
      </c>
      <c r="D137" t="s">
        <v>26</v>
      </c>
      <c r="E137">
        <v>548</v>
      </c>
      <c r="F137">
        <v>767.2</v>
      </c>
      <c r="G137">
        <v>202</v>
      </c>
      <c r="H137">
        <v>50</v>
      </c>
      <c r="I137" t="s">
        <v>16</v>
      </c>
      <c r="J137" s="1">
        <v>46108</v>
      </c>
      <c r="K137" s="1">
        <v>46135</v>
      </c>
      <c r="L137" t="s">
        <v>23</v>
      </c>
      <c r="M137">
        <f>tblInventory[[#This Row],[Unit Cost]]*tblInventory[[#This Row],[Quantity in Stock]]</f>
        <v>110696</v>
      </c>
    </row>
    <row r="138" spans="1:13" x14ac:dyDescent="0.2">
      <c r="A138" t="s">
        <v>186</v>
      </c>
      <c r="B138" t="s">
        <v>46</v>
      </c>
      <c r="C138" t="s">
        <v>14</v>
      </c>
      <c r="D138" t="s">
        <v>15</v>
      </c>
      <c r="E138">
        <v>134</v>
      </c>
      <c r="F138">
        <v>174.2</v>
      </c>
      <c r="G138">
        <v>63</v>
      </c>
      <c r="H138">
        <v>25</v>
      </c>
      <c r="I138" t="s">
        <v>16</v>
      </c>
      <c r="J138" s="1">
        <v>45980</v>
      </c>
      <c r="K138" s="1">
        <v>46063</v>
      </c>
      <c r="L138" t="s">
        <v>23</v>
      </c>
      <c r="M138">
        <f>tblInventory[[#This Row],[Unit Cost]]*tblInventory[[#This Row],[Quantity in Stock]]</f>
        <v>8442</v>
      </c>
    </row>
    <row r="139" spans="1:13" x14ac:dyDescent="0.2">
      <c r="A139" t="s">
        <v>187</v>
      </c>
      <c r="B139" t="s">
        <v>63</v>
      </c>
      <c r="C139" t="s">
        <v>22</v>
      </c>
      <c r="D139" t="s">
        <v>40</v>
      </c>
      <c r="E139">
        <v>380</v>
      </c>
      <c r="F139">
        <v>494</v>
      </c>
      <c r="G139">
        <v>275</v>
      </c>
      <c r="H139">
        <v>15</v>
      </c>
      <c r="I139" t="s">
        <v>31</v>
      </c>
      <c r="J139" s="1">
        <v>46016</v>
      </c>
      <c r="K139" s="1">
        <v>46074</v>
      </c>
      <c r="L139" t="s">
        <v>23</v>
      </c>
      <c r="M139">
        <f>tblInventory[[#This Row],[Unit Cost]]*tblInventory[[#This Row],[Quantity in Stock]]</f>
        <v>104500</v>
      </c>
    </row>
    <row r="140" spans="1:13" x14ac:dyDescent="0.2">
      <c r="A140" t="s">
        <v>188</v>
      </c>
      <c r="B140" t="s">
        <v>116</v>
      </c>
      <c r="C140" t="s">
        <v>22</v>
      </c>
      <c r="D140" t="s">
        <v>15</v>
      </c>
      <c r="E140">
        <v>149</v>
      </c>
      <c r="F140">
        <v>193.7</v>
      </c>
      <c r="G140">
        <v>46</v>
      </c>
      <c r="H140">
        <v>15</v>
      </c>
      <c r="I140" t="s">
        <v>31</v>
      </c>
      <c r="J140" s="1">
        <v>45870</v>
      </c>
      <c r="K140" s="1">
        <v>45900</v>
      </c>
      <c r="L140" t="s">
        <v>23</v>
      </c>
      <c r="M140">
        <f>tblInventory[[#This Row],[Unit Cost]]*tblInventory[[#This Row],[Quantity in Stock]]</f>
        <v>6854</v>
      </c>
    </row>
    <row r="141" spans="1:13" x14ac:dyDescent="0.2">
      <c r="A141" t="s">
        <v>189</v>
      </c>
      <c r="B141" t="s">
        <v>68</v>
      </c>
      <c r="C141" t="s">
        <v>34</v>
      </c>
      <c r="D141" t="s">
        <v>26</v>
      </c>
      <c r="E141">
        <v>145</v>
      </c>
      <c r="F141">
        <v>188.5</v>
      </c>
      <c r="G141">
        <v>195</v>
      </c>
      <c r="H141">
        <v>30</v>
      </c>
      <c r="I141" t="s">
        <v>43</v>
      </c>
      <c r="J141" s="1">
        <v>46117</v>
      </c>
      <c r="K141" s="1">
        <v>46205</v>
      </c>
      <c r="L141" t="s">
        <v>23</v>
      </c>
      <c r="M141">
        <f>tblInventory[[#This Row],[Unit Cost]]*tblInventory[[#This Row],[Quantity in Stock]]</f>
        <v>28275</v>
      </c>
    </row>
    <row r="142" spans="1:13" x14ac:dyDescent="0.2">
      <c r="A142" t="s">
        <v>190</v>
      </c>
      <c r="B142" t="s">
        <v>46</v>
      </c>
      <c r="C142" t="s">
        <v>14</v>
      </c>
      <c r="D142" t="s">
        <v>26</v>
      </c>
      <c r="E142">
        <v>69</v>
      </c>
      <c r="F142">
        <v>96.6</v>
      </c>
      <c r="G142">
        <v>108</v>
      </c>
      <c r="H142">
        <v>40</v>
      </c>
      <c r="I142" t="s">
        <v>16</v>
      </c>
      <c r="J142" s="1">
        <v>45877</v>
      </c>
      <c r="K142" s="1">
        <v>45906</v>
      </c>
      <c r="L142" t="s">
        <v>23</v>
      </c>
      <c r="M142">
        <f>tblInventory[[#This Row],[Unit Cost]]*tblInventory[[#This Row],[Quantity in Stock]]</f>
        <v>7452</v>
      </c>
    </row>
    <row r="143" spans="1:13" x14ac:dyDescent="0.2">
      <c r="A143" t="s">
        <v>191</v>
      </c>
      <c r="B143" t="s">
        <v>70</v>
      </c>
      <c r="C143" t="s">
        <v>14</v>
      </c>
      <c r="D143" t="s">
        <v>26</v>
      </c>
      <c r="E143">
        <v>522</v>
      </c>
      <c r="F143">
        <v>783</v>
      </c>
      <c r="G143">
        <v>38</v>
      </c>
      <c r="H143">
        <v>20</v>
      </c>
      <c r="I143" t="s">
        <v>31</v>
      </c>
      <c r="J143" s="1">
        <v>45828</v>
      </c>
      <c r="K143" s="1">
        <v>45879</v>
      </c>
      <c r="L143" t="s">
        <v>23</v>
      </c>
      <c r="M143">
        <f>tblInventory[[#This Row],[Unit Cost]]*tblInventory[[#This Row],[Quantity in Stock]]</f>
        <v>19836</v>
      </c>
    </row>
    <row r="144" spans="1:13" x14ac:dyDescent="0.2">
      <c r="A144" t="s">
        <v>192</v>
      </c>
      <c r="B144" t="s">
        <v>52</v>
      </c>
      <c r="C144" t="s">
        <v>22</v>
      </c>
      <c r="D144" t="s">
        <v>19</v>
      </c>
      <c r="E144">
        <v>280</v>
      </c>
      <c r="F144">
        <v>420</v>
      </c>
      <c r="G144">
        <v>171</v>
      </c>
      <c r="H144">
        <v>15</v>
      </c>
      <c r="I144" t="s">
        <v>16</v>
      </c>
      <c r="J144" s="1">
        <v>46047</v>
      </c>
      <c r="K144" s="1">
        <v>46112</v>
      </c>
      <c r="L144" t="s">
        <v>23</v>
      </c>
      <c r="M144">
        <f>tblInventory[[#This Row],[Unit Cost]]*tblInventory[[#This Row],[Quantity in Stock]]</f>
        <v>47880</v>
      </c>
    </row>
    <row r="145" spans="1:13" x14ac:dyDescent="0.2">
      <c r="A145" t="s">
        <v>193</v>
      </c>
      <c r="B145" t="s">
        <v>42</v>
      </c>
      <c r="C145" t="s">
        <v>34</v>
      </c>
      <c r="D145" t="s">
        <v>15</v>
      </c>
      <c r="E145">
        <v>230</v>
      </c>
      <c r="F145">
        <v>276</v>
      </c>
      <c r="G145">
        <v>263</v>
      </c>
      <c r="H145">
        <v>20</v>
      </c>
      <c r="I145" t="s">
        <v>31</v>
      </c>
      <c r="J145" s="1">
        <v>46026</v>
      </c>
      <c r="K145" s="1">
        <v>46071</v>
      </c>
      <c r="L145" t="s">
        <v>23</v>
      </c>
      <c r="M145">
        <f>tblInventory[[#This Row],[Unit Cost]]*tblInventory[[#This Row],[Quantity in Stock]]</f>
        <v>60490</v>
      </c>
    </row>
    <row r="146" spans="1:13" x14ac:dyDescent="0.2">
      <c r="A146" t="s">
        <v>194</v>
      </c>
      <c r="B146" t="s">
        <v>37</v>
      </c>
      <c r="C146" t="s">
        <v>22</v>
      </c>
      <c r="D146" t="s">
        <v>35</v>
      </c>
      <c r="E146">
        <v>8</v>
      </c>
      <c r="F146">
        <v>10.4</v>
      </c>
      <c r="G146">
        <v>188</v>
      </c>
      <c r="H146">
        <v>20</v>
      </c>
      <c r="I146" t="s">
        <v>31</v>
      </c>
      <c r="J146" s="1">
        <v>46170</v>
      </c>
      <c r="K146" s="1">
        <v>46191</v>
      </c>
      <c r="L146" t="s">
        <v>23</v>
      </c>
      <c r="M146">
        <f>tblInventory[[#This Row],[Unit Cost]]*tblInventory[[#This Row],[Quantity in Stock]]</f>
        <v>1504</v>
      </c>
    </row>
    <row r="147" spans="1:13" x14ac:dyDescent="0.2">
      <c r="A147" t="s">
        <v>195</v>
      </c>
      <c r="B147" t="s">
        <v>42</v>
      </c>
      <c r="C147" t="s">
        <v>34</v>
      </c>
      <c r="D147" t="s">
        <v>35</v>
      </c>
      <c r="E147">
        <v>400</v>
      </c>
      <c r="F147">
        <v>600</v>
      </c>
      <c r="G147">
        <v>237</v>
      </c>
      <c r="H147">
        <v>20</v>
      </c>
      <c r="I147" t="s">
        <v>43</v>
      </c>
      <c r="J147" s="1">
        <v>45745</v>
      </c>
      <c r="K147" s="1">
        <v>45781</v>
      </c>
      <c r="L147" t="s">
        <v>23</v>
      </c>
      <c r="M147">
        <f>tblInventory[[#This Row],[Unit Cost]]*tblInventory[[#This Row],[Quantity in Stock]]</f>
        <v>94800</v>
      </c>
    </row>
    <row r="148" spans="1:13" x14ac:dyDescent="0.2">
      <c r="A148" t="s">
        <v>196</v>
      </c>
      <c r="B148" t="s">
        <v>68</v>
      </c>
      <c r="C148" t="s">
        <v>34</v>
      </c>
      <c r="D148" t="s">
        <v>26</v>
      </c>
      <c r="E148">
        <v>214</v>
      </c>
      <c r="F148">
        <v>299.60000000000002</v>
      </c>
      <c r="G148">
        <v>251</v>
      </c>
      <c r="H148">
        <v>20</v>
      </c>
      <c r="I148" t="s">
        <v>43</v>
      </c>
      <c r="J148" s="1">
        <v>45765</v>
      </c>
      <c r="K148" s="1">
        <v>45851</v>
      </c>
      <c r="L148" t="s">
        <v>23</v>
      </c>
      <c r="M148">
        <f>tblInventory[[#This Row],[Unit Cost]]*tblInventory[[#This Row],[Quantity in Stock]]</f>
        <v>53714</v>
      </c>
    </row>
    <row r="149" spans="1:13" x14ac:dyDescent="0.2">
      <c r="A149" t="s">
        <v>197</v>
      </c>
      <c r="B149" t="s">
        <v>46</v>
      </c>
      <c r="C149" t="s">
        <v>14</v>
      </c>
      <c r="D149" t="s">
        <v>15</v>
      </c>
      <c r="E149">
        <v>535</v>
      </c>
      <c r="F149">
        <v>642</v>
      </c>
      <c r="G149">
        <v>100</v>
      </c>
      <c r="H149">
        <v>40</v>
      </c>
      <c r="I149" t="s">
        <v>16</v>
      </c>
      <c r="J149" s="1">
        <v>45807</v>
      </c>
      <c r="K149" s="1">
        <v>45878</v>
      </c>
      <c r="L149" t="s">
        <v>23</v>
      </c>
      <c r="M149">
        <f>tblInventory[[#This Row],[Unit Cost]]*tblInventory[[#This Row],[Quantity in Stock]]</f>
        <v>53500</v>
      </c>
    </row>
    <row r="150" spans="1:13" x14ac:dyDescent="0.2">
      <c r="A150" t="s">
        <v>198</v>
      </c>
      <c r="B150" t="s">
        <v>68</v>
      </c>
      <c r="C150" t="s">
        <v>34</v>
      </c>
      <c r="D150" t="s">
        <v>19</v>
      </c>
      <c r="E150">
        <v>418</v>
      </c>
      <c r="F150">
        <v>501.6</v>
      </c>
      <c r="G150">
        <v>94</v>
      </c>
      <c r="H150">
        <v>10</v>
      </c>
      <c r="I150" t="s">
        <v>43</v>
      </c>
      <c r="J150" s="1">
        <v>45993</v>
      </c>
      <c r="K150" s="1">
        <v>46060</v>
      </c>
      <c r="L150" t="s">
        <v>23</v>
      </c>
      <c r="M150">
        <f>tblInventory[[#This Row],[Unit Cost]]*tblInventory[[#This Row],[Quantity in Stock]]</f>
        <v>39292</v>
      </c>
    </row>
    <row r="151" spans="1:13" x14ac:dyDescent="0.2">
      <c r="A151" t="s">
        <v>199</v>
      </c>
      <c r="B151" t="s">
        <v>87</v>
      </c>
      <c r="C151" t="s">
        <v>29</v>
      </c>
      <c r="D151" t="s">
        <v>35</v>
      </c>
      <c r="E151">
        <v>412</v>
      </c>
      <c r="F151">
        <v>535.6</v>
      </c>
      <c r="G151">
        <v>91</v>
      </c>
      <c r="H151">
        <v>10</v>
      </c>
      <c r="I151" t="s">
        <v>31</v>
      </c>
      <c r="J151" s="1">
        <v>46073</v>
      </c>
      <c r="K151" s="1">
        <v>46106</v>
      </c>
      <c r="L151" t="s">
        <v>23</v>
      </c>
      <c r="M151">
        <f>tblInventory[[#This Row],[Unit Cost]]*tblInventory[[#This Row],[Quantity in Stock]]</f>
        <v>37492</v>
      </c>
    </row>
    <row r="152" spans="1:13" x14ac:dyDescent="0.2">
      <c r="A152" t="s">
        <v>200</v>
      </c>
      <c r="B152" t="s">
        <v>25</v>
      </c>
      <c r="C152" t="s">
        <v>14</v>
      </c>
      <c r="D152" t="s">
        <v>30</v>
      </c>
      <c r="E152">
        <v>516</v>
      </c>
      <c r="F152">
        <v>670.8</v>
      </c>
      <c r="G152">
        <v>122</v>
      </c>
      <c r="H152">
        <v>25</v>
      </c>
      <c r="I152" t="s">
        <v>31</v>
      </c>
      <c r="J152" s="1">
        <v>45875</v>
      </c>
      <c r="K152" s="1">
        <v>45963</v>
      </c>
      <c r="L152" t="s">
        <v>23</v>
      </c>
      <c r="M152">
        <f>tblInventory[[#This Row],[Unit Cost]]*tblInventory[[#This Row],[Quantity in Stock]]</f>
        <v>62952</v>
      </c>
    </row>
    <row r="153" spans="1:13" x14ac:dyDescent="0.2">
      <c r="A153" t="s">
        <v>201</v>
      </c>
      <c r="B153" t="s">
        <v>13</v>
      </c>
      <c r="C153" t="s">
        <v>14</v>
      </c>
      <c r="D153" t="s">
        <v>35</v>
      </c>
      <c r="E153">
        <v>110</v>
      </c>
      <c r="F153">
        <v>165</v>
      </c>
      <c r="G153">
        <v>219</v>
      </c>
      <c r="H153">
        <v>50</v>
      </c>
      <c r="I153" t="s">
        <v>43</v>
      </c>
      <c r="J153" s="1">
        <v>45694</v>
      </c>
      <c r="K153" s="1">
        <v>45757</v>
      </c>
      <c r="L153" t="s">
        <v>23</v>
      </c>
      <c r="M153">
        <f>tblInventory[[#This Row],[Unit Cost]]*tblInventory[[#This Row],[Quantity in Stock]]</f>
        <v>24090</v>
      </c>
    </row>
    <row r="154" spans="1:13" x14ac:dyDescent="0.2">
      <c r="A154" t="s">
        <v>202</v>
      </c>
      <c r="B154" t="s">
        <v>46</v>
      </c>
      <c r="C154" t="s">
        <v>14</v>
      </c>
      <c r="D154" t="s">
        <v>15</v>
      </c>
      <c r="E154">
        <v>625</v>
      </c>
      <c r="F154">
        <v>875</v>
      </c>
      <c r="G154">
        <v>63</v>
      </c>
      <c r="H154">
        <v>50</v>
      </c>
      <c r="I154" t="s">
        <v>16</v>
      </c>
      <c r="J154" s="1">
        <v>45810</v>
      </c>
      <c r="K154" s="1">
        <v>45816</v>
      </c>
      <c r="L154" t="s">
        <v>23</v>
      </c>
      <c r="M154">
        <f>tblInventory[[#This Row],[Unit Cost]]*tblInventory[[#This Row],[Quantity in Stock]]</f>
        <v>39375</v>
      </c>
    </row>
    <row r="155" spans="1:13" x14ac:dyDescent="0.2">
      <c r="A155" t="s">
        <v>203</v>
      </c>
      <c r="B155" t="s">
        <v>63</v>
      </c>
      <c r="C155" t="s">
        <v>22</v>
      </c>
      <c r="D155" t="s">
        <v>30</v>
      </c>
      <c r="E155">
        <v>326</v>
      </c>
      <c r="F155">
        <v>489</v>
      </c>
      <c r="G155">
        <v>65</v>
      </c>
      <c r="H155">
        <v>50</v>
      </c>
      <c r="I155" t="s">
        <v>43</v>
      </c>
      <c r="J155" s="1">
        <v>46029</v>
      </c>
      <c r="K155" s="1">
        <v>46098</v>
      </c>
      <c r="L155" t="s">
        <v>23</v>
      </c>
      <c r="M155">
        <f>tblInventory[[#This Row],[Unit Cost]]*tblInventory[[#This Row],[Quantity in Stock]]</f>
        <v>21190</v>
      </c>
    </row>
    <row r="156" spans="1:13" x14ac:dyDescent="0.2">
      <c r="A156" t="s">
        <v>204</v>
      </c>
      <c r="B156" t="s">
        <v>74</v>
      </c>
      <c r="C156" t="s">
        <v>29</v>
      </c>
      <c r="D156" t="s">
        <v>40</v>
      </c>
      <c r="E156">
        <v>408</v>
      </c>
      <c r="F156">
        <v>489.6</v>
      </c>
      <c r="G156">
        <v>217</v>
      </c>
      <c r="H156">
        <v>10</v>
      </c>
      <c r="I156" t="s">
        <v>43</v>
      </c>
      <c r="J156" s="1">
        <v>45749</v>
      </c>
      <c r="K156" s="1">
        <v>45826</v>
      </c>
      <c r="L156" t="s">
        <v>23</v>
      </c>
      <c r="M156">
        <f>tblInventory[[#This Row],[Unit Cost]]*tblInventory[[#This Row],[Quantity in Stock]]</f>
        <v>88536</v>
      </c>
    </row>
    <row r="157" spans="1:13" x14ac:dyDescent="0.2">
      <c r="A157" t="s">
        <v>205</v>
      </c>
      <c r="B157" t="s">
        <v>65</v>
      </c>
      <c r="C157" t="s">
        <v>22</v>
      </c>
      <c r="D157" t="s">
        <v>35</v>
      </c>
      <c r="E157">
        <v>618</v>
      </c>
      <c r="F157">
        <v>741.6</v>
      </c>
      <c r="G157">
        <v>144</v>
      </c>
      <c r="H157">
        <v>40</v>
      </c>
      <c r="I157" t="s">
        <v>16</v>
      </c>
      <c r="J157" s="1">
        <v>45774</v>
      </c>
      <c r="K157" s="1">
        <v>45790</v>
      </c>
      <c r="L157" t="s">
        <v>23</v>
      </c>
      <c r="M157">
        <f>tblInventory[[#This Row],[Unit Cost]]*tblInventory[[#This Row],[Quantity in Stock]]</f>
        <v>88992</v>
      </c>
    </row>
    <row r="158" spans="1:13" x14ac:dyDescent="0.2">
      <c r="A158" t="s">
        <v>206</v>
      </c>
      <c r="B158" t="s">
        <v>60</v>
      </c>
      <c r="C158" t="s">
        <v>34</v>
      </c>
      <c r="D158" t="s">
        <v>15</v>
      </c>
      <c r="E158">
        <v>343</v>
      </c>
      <c r="F158">
        <v>445.9</v>
      </c>
      <c r="G158">
        <v>282</v>
      </c>
      <c r="H158">
        <v>25</v>
      </c>
      <c r="I158" t="s">
        <v>31</v>
      </c>
      <c r="J158" s="1">
        <v>46101</v>
      </c>
      <c r="K158" s="1">
        <v>46164</v>
      </c>
      <c r="L158" t="s">
        <v>23</v>
      </c>
      <c r="M158">
        <f>tblInventory[[#This Row],[Unit Cost]]*tblInventory[[#This Row],[Quantity in Stock]]</f>
        <v>96726</v>
      </c>
    </row>
    <row r="159" spans="1:13" x14ac:dyDescent="0.2">
      <c r="A159" t="s">
        <v>207</v>
      </c>
      <c r="B159" t="s">
        <v>13</v>
      </c>
      <c r="C159" t="s">
        <v>14</v>
      </c>
      <c r="D159" t="s">
        <v>26</v>
      </c>
      <c r="E159">
        <v>114</v>
      </c>
      <c r="F159">
        <v>148.19999999999999</v>
      </c>
      <c r="G159">
        <v>231</v>
      </c>
      <c r="H159">
        <v>50</v>
      </c>
      <c r="I159" t="s">
        <v>43</v>
      </c>
      <c r="J159" s="1">
        <v>46027</v>
      </c>
      <c r="K159" s="1">
        <v>46107</v>
      </c>
      <c r="L159" t="s">
        <v>23</v>
      </c>
      <c r="M159">
        <f>tblInventory[[#This Row],[Unit Cost]]*tblInventory[[#This Row],[Quantity in Stock]]</f>
        <v>26334</v>
      </c>
    </row>
    <row r="160" spans="1:13" x14ac:dyDescent="0.2">
      <c r="A160" t="s">
        <v>208</v>
      </c>
      <c r="B160" t="s">
        <v>37</v>
      </c>
      <c r="C160" t="s">
        <v>22</v>
      </c>
      <c r="D160" t="s">
        <v>40</v>
      </c>
      <c r="E160">
        <v>316</v>
      </c>
      <c r="F160">
        <v>379.2</v>
      </c>
      <c r="G160">
        <v>138</v>
      </c>
      <c r="H160">
        <v>15</v>
      </c>
      <c r="I160" t="s">
        <v>43</v>
      </c>
      <c r="J160" s="1">
        <v>45668</v>
      </c>
      <c r="K160" s="1">
        <v>45757</v>
      </c>
      <c r="L160" t="s">
        <v>23</v>
      </c>
      <c r="M160">
        <f>tblInventory[[#This Row],[Unit Cost]]*tblInventory[[#This Row],[Quantity in Stock]]</f>
        <v>43608</v>
      </c>
    </row>
    <row r="161" spans="1:13" x14ac:dyDescent="0.2">
      <c r="A161" t="s">
        <v>209</v>
      </c>
      <c r="B161" t="s">
        <v>46</v>
      </c>
      <c r="C161" t="s">
        <v>14</v>
      </c>
      <c r="D161" t="s">
        <v>26</v>
      </c>
      <c r="E161">
        <v>419</v>
      </c>
      <c r="F161">
        <v>544.70000000000005</v>
      </c>
      <c r="G161">
        <v>77</v>
      </c>
      <c r="H161">
        <v>30</v>
      </c>
      <c r="I161" t="s">
        <v>43</v>
      </c>
      <c r="J161" s="1">
        <v>45844</v>
      </c>
      <c r="K161" s="1">
        <v>45910</v>
      </c>
      <c r="L161" t="s">
        <v>23</v>
      </c>
      <c r="M161">
        <f>tblInventory[[#This Row],[Unit Cost]]*tblInventory[[#This Row],[Quantity in Stock]]</f>
        <v>32263</v>
      </c>
    </row>
    <row r="162" spans="1:13" x14ac:dyDescent="0.2">
      <c r="A162" t="s">
        <v>210</v>
      </c>
      <c r="B162" t="s">
        <v>104</v>
      </c>
      <c r="C162" t="s">
        <v>29</v>
      </c>
      <c r="D162" t="s">
        <v>15</v>
      </c>
      <c r="E162">
        <v>246</v>
      </c>
      <c r="F162">
        <v>319.8</v>
      </c>
      <c r="G162">
        <v>85</v>
      </c>
      <c r="H162">
        <v>40</v>
      </c>
      <c r="I162" t="s">
        <v>16</v>
      </c>
      <c r="J162" s="1">
        <v>45843</v>
      </c>
      <c r="K162" s="1">
        <v>45918</v>
      </c>
      <c r="L162" t="s">
        <v>23</v>
      </c>
      <c r="M162">
        <f>tblInventory[[#This Row],[Unit Cost]]*tblInventory[[#This Row],[Quantity in Stock]]</f>
        <v>20910</v>
      </c>
    </row>
    <row r="163" spans="1:13" x14ac:dyDescent="0.2">
      <c r="A163" t="s">
        <v>211</v>
      </c>
      <c r="B163" t="s">
        <v>70</v>
      </c>
      <c r="C163" t="s">
        <v>14</v>
      </c>
      <c r="D163" t="s">
        <v>19</v>
      </c>
      <c r="E163">
        <v>411</v>
      </c>
      <c r="F163">
        <v>575.4</v>
      </c>
      <c r="G163">
        <v>104</v>
      </c>
      <c r="H163">
        <v>25</v>
      </c>
      <c r="I163" t="s">
        <v>16</v>
      </c>
      <c r="J163" s="1">
        <v>45721</v>
      </c>
      <c r="K163" s="1">
        <v>45791</v>
      </c>
      <c r="L163" t="s">
        <v>23</v>
      </c>
      <c r="M163">
        <f>tblInventory[[#This Row],[Unit Cost]]*tblInventory[[#This Row],[Quantity in Stock]]</f>
        <v>42744</v>
      </c>
    </row>
    <row r="164" spans="1:13" x14ac:dyDescent="0.2">
      <c r="A164" t="s">
        <v>212</v>
      </c>
      <c r="B164" t="s">
        <v>33</v>
      </c>
      <c r="C164" t="s">
        <v>34</v>
      </c>
      <c r="D164" t="s">
        <v>35</v>
      </c>
      <c r="E164">
        <v>592</v>
      </c>
      <c r="F164">
        <v>769.6</v>
      </c>
      <c r="G164">
        <v>117</v>
      </c>
      <c r="H164">
        <v>25</v>
      </c>
      <c r="I164" t="s">
        <v>31</v>
      </c>
      <c r="J164" s="1">
        <v>45660</v>
      </c>
      <c r="K164" s="1">
        <v>45746</v>
      </c>
      <c r="L164" t="s">
        <v>23</v>
      </c>
      <c r="M164">
        <f>tblInventory[[#This Row],[Unit Cost]]*tblInventory[[#This Row],[Quantity in Stock]]</f>
        <v>69264</v>
      </c>
    </row>
    <row r="165" spans="1:13" x14ac:dyDescent="0.2">
      <c r="A165" t="s">
        <v>213</v>
      </c>
      <c r="B165" t="s">
        <v>48</v>
      </c>
      <c r="C165" t="s">
        <v>14</v>
      </c>
      <c r="D165" t="s">
        <v>15</v>
      </c>
      <c r="E165">
        <v>58</v>
      </c>
      <c r="F165">
        <v>87</v>
      </c>
      <c r="G165">
        <v>10</v>
      </c>
      <c r="H165">
        <v>15</v>
      </c>
      <c r="I165" t="s">
        <v>43</v>
      </c>
      <c r="J165" s="1">
        <v>46137</v>
      </c>
      <c r="K165" s="1">
        <v>46172</v>
      </c>
      <c r="L165" t="s">
        <v>17</v>
      </c>
      <c r="M165">
        <f>tblInventory[[#This Row],[Unit Cost]]*tblInventory[[#This Row],[Quantity in Stock]]</f>
        <v>580</v>
      </c>
    </row>
    <row r="166" spans="1:13" x14ac:dyDescent="0.2">
      <c r="A166" t="s">
        <v>214</v>
      </c>
      <c r="B166" t="s">
        <v>57</v>
      </c>
      <c r="C166" t="s">
        <v>29</v>
      </c>
      <c r="D166" t="s">
        <v>35</v>
      </c>
      <c r="E166">
        <v>261</v>
      </c>
      <c r="F166">
        <v>339.3</v>
      </c>
      <c r="G166">
        <v>104</v>
      </c>
      <c r="H166">
        <v>25</v>
      </c>
      <c r="I166" t="s">
        <v>31</v>
      </c>
      <c r="J166" s="1">
        <v>45850</v>
      </c>
      <c r="K166" s="1">
        <v>45891</v>
      </c>
      <c r="L166" t="s">
        <v>23</v>
      </c>
      <c r="M166">
        <f>tblInventory[[#This Row],[Unit Cost]]*tblInventory[[#This Row],[Quantity in Stock]]</f>
        <v>27144</v>
      </c>
    </row>
    <row r="167" spans="1:13" x14ac:dyDescent="0.2">
      <c r="A167" t="s">
        <v>215</v>
      </c>
      <c r="B167" t="s">
        <v>87</v>
      </c>
      <c r="C167" t="s">
        <v>29</v>
      </c>
      <c r="D167" t="s">
        <v>19</v>
      </c>
      <c r="E167">
        <v>255</v>
      </c>
      <c r="F167">
        <v>331.5</v>
      </c>
      <c r="G167">
        <v>225</v>
      </c>
      <c r="H167">
        <v>10</v>
      </c>
      <c r="I167" t="s">
        <v>16</v>
      </c>
      <c r="J167" s="1">
        <v>45862</v>
      </c>
      <c r="K167" s="1">
        <v>45884</v>
      </c>
      <c r="L167" t="s">
        <v>23</v>
      </c>
      <c r="M167">
        <f>tblInventory[[#This Row],[Unit Cost]]*tblInventory[[#This Row],[Quantity in Stock]]</f>
        <v>57375</v>
      </c>
    </row>
    <row r="168" spans="1:13" x14ac:dyDescent="0.2">
      <c r="A168" t="s">
        <v>216</v>
      </c>
      <c r="B168" t="s">
        <v>63</v>
      </c>
      <c r="C168" t="s">
        <v>22</v>
      </c>
      <c r="D168" t="s">
        <v>30</v>
      </c>
      <c r="E168">
        <v>639</v>
      </c>
      <c r="F168">
        <v>894.6</v>
      </c>
      <c r="G168">
        <v>152</v>
      </c>
      <c r="H168">
        <v>10</v>
      </c>
      <c r="I168" t="s">
        <v>31</v>
      </c>
      <c r="J168" s="1">
        <v>45811</v>
      </c>
      <c r="K168" s="1">
        <v>45868</v>
      </c>
      <c r="L168" t="s">
        <v>23</v>
      </c>
      <c r="M168">
        <f>tblInventory[[#This Row],[Unit Cost]]*tblInventory[[#This Row],[Quantity in Stock]]</f>
        <v>97128</v>
      </c>
    </row>
    <row r="169" spans="1:13" x14ac:dyDescent="0.2">
      <c r="A169" t="s">
        <v>217</v>
      </c>
      <c r="B169" t="s">
        <v>42</v>
      </c>
      <c r="C169" t="s">
        <v>34</v>
      </c>
      <c r="D169" t="s">
        <v>35</v>
      </c>
      <c r="E169">
        <v>109</v>
      </c>
      <c r="F169">
        <v>152.6</v>
      </c>
      <c r="G169">
        <v>240</v>
      </c>
      <c r="H169">
        <v>25</v>
      </c>
      <c r="I169" t="s">
        <v>16</v>
      </c>
      <c r="J169" s="1">
        <v>45724</v>
      </c>
      <c r="K169" s="1">
        <v>45786</v>
      </c>
      <c r="L169" t="s">
        <v>23</v>
      </c>
      <c r="M169">
        <f>tblInventory[[#This Row],[Unit Cost]]*tblInventory[[#This Row],[Quantity in Stock]]</f>
        <v>26160</v>
      </c>
    </row>
    <row r="170" spans="1:13" x14ac:dyDescent="0.2">
      <c r="A170" t="s">
        <v>218</v>
      </c>
      <c r="B170" t="s">
        <v>50</v>
      </c>
      <c r="C170" t="s">
        <v>34</v>
      </c>
      <c r="D170" t="s">
        <v>26</v>
      </c>
      <c r="E170">
        <v>274</v>
      </c>
      <c r="F170">
        <v>356.2</v>
      </c>
      <c r="G170">
        <v>13</v>
      </c>
      <c r="H170">
        <v>30</v>
      </c>
      <c r="I170" t="s">
        <v>31</v>
      </c>
      <c r="J170" s="1">
        <v>45822</v>
      </c>
      <c r="K170" s="1">
        <v>45824</v>
      </c>
      <c r="L170" t="s">
        <v>17</v>
      </c>
      <c r="M170">
        <f>tblInventory[[#This Row],[Unit Cost]]*tblInventory[[#This Row],[Quantity in Stock]]</f>
        <v>3562</v>
      </c>
    </row>
    <row r="171" spans="1:13" x14ac:dyDescent="0.2">
      <c r="A171" t="s">
        <v>219</v>
      </c>
      <c r="B171" t="s">
        <v>48</v>
      </c>
      <c r="C171" t="s">
        <v>14</v>
      </c>
      <c r="D171" t="s">
        <v>19</v>
      </c>
      <c r="E171">
        <v>367</v>
      </c>
      <c r="F171">
        <v>440.4</v>
      </c>
      <c r="G171">
        <v>124</v>
      </c>
      <c r="H171">
        <v>50</v>
      </c>
      <c r="I171" t="s">
        <v>16</v>
      </c>
      <c r="J171" s="1">
        <v>46024</v>
      </c>
      <c r="K171" s="1">
        <v>46077</v>
      </c>
      <c r="L171" t="s">
        <v>23</v>
      </c>
      <c r="M171">
        <f>tblInventory[[#This Row],[Unit Cost]]*tblInventory[[#This Row],[Quantity in Stock]]</f>
        <v>45508</v>
      </c>
    </row>
    <row r="172" spans="1:13" x14ac:dyDescent="0.2">
      <c r="A172" t="s">
        <v>220</v>
      </c>
      <c r="B172" t="s">
        <v>104</v>
      </c>
      <c r="C172" t="s">
        <v>29</v>
      </c>
      <c r="D172" t="s">
        <v>40</v>
      </c>
      <c r="E172">
        <v>543</v>
      </c>
      <c r="F172">
        <v>705.9</v>
      </c>
      <c r="G172">
        <v>52</v>
      </c>
      <c r="H172">
        <v>15</v>
      </c>
      <c r="I172" t="s">
        <v>43</v>
      </c>
      <c r="J172" s="1">
        <v>45678</v>
      </c>
      <c r="K172" s="1">
        <v>45688</v>
      </c>
      <c r="L172" t="s">
        <v>23</v>
      </c>
      <c r="M172">
        <f>tblInventory[[#This Row],[Unit Cost]]*tblInventory[[#This Row],[Quantity in Stock]]</f>
        <v>28236</v>
      </c>
    </row>
    <row r="173" spans="1:13" x14ac:dyDescent="0.2">
      <c r="A173" t="s">
        <v>221</v>
      </c>
      <c r="B173" t="s">
        <v>63</v>
      </c>
      <c r="C173" t="s">
        <v>22</v>
      </c>
      <c r="D173" t="s">
        <v>26</v>
      </c>
      <c r="E173">
        <v>155</v>
      </c>
      <c r="F173">
        <v>232.5</v>
      </c>
      <c r="G173">
        <v>229</v>
      </c>
      <c r="H173">
        <v>10</v>
      </c>
      <c r="I173" t="s">
        <v>43</v>
      </c>
      <c r="J173" s="1">
        <v>46120</v>
      </c>
      <c r="K173" s="1">
        <v>46157</v>
      </c>
      <c r="L173" t="s">
        <v>23</v>
      </c>
      <c r="M173">
        <f>tblInventory[[#This Row],[Unit Cost]]*tblInventory[[#This Row],[Quantity in Stock]]</f>
        <v>35495</v>
      </c>
    </row>
    <row r="174" spans="1:13" x14ac:dyDescent="0.2">
      <c r="A174" t="s">
        <v>222</v>
      </c>
      <c r="B174" t="s">
        <v>25</v>
      </c>
      <c r="C174" t="s">
        <v>14</v>
      </c>
      <c r="D174" t="s">
        <v>26</v>
      </c>
      <c r="E174">
        <v>573</v>
      </c>
      <c r="F174">
        <v>859.5</v>
      </c>
      <c r="G174">
        <v>216</v>
      </c>
      <c r="H174">
        <v>50</v>
      </c>
      <c r="I174" t="s">
        <v>31</v>
      </c>
      <c r="J174" s="1">
        <v>45673</v>
      </c>
      <c r="K174" s="1">
        <v>45684</v>
      </c>
      <c r="L174" t="s">
        <v>23</v>
      </c>
      <c r="M174">
        <f>tblInventory[[#This Row],[Unit Cost]]*tblInventory[[#This Row],[Quantity in Stock]]</f>
        <v>123768</v>
      </c>
    </row>
    <row r="175" spans="1:13" x14ac:dyDescent="0.2">
      <c r="A175" t="s">
        <v>223</v>
      </c>
      <c r="B175" t="s">
        <v>37</v>
      </c>
      <c r="C175" t="s">
        <v>22</v>
      </c>
      <c r="D175" t="s">
        <v>15</v>
      </c>
      <c r="E175">
        <v>144</v>
      </c>
      <c r="F175">
        <v>187.2</v>
      </c>
      <c r="G175">
        <v>90</v>
      </c>
      <c r="H175">
        <v>50</v>
      </c>
      <c r="I175" t="s">
        <v>16</v>
      </c>
      <c r="J175" s="1">
        <v>45790</v>
      </c>
      <c r="K175" s="1">
        <v>45817</v>
      </c>
      <c r="L175" t="s">
        <v>23</v>
      </c>
      <c r="M175">
        <f>tblInventory[[#This Row],[Unit Cost]]*tblInventory[[#This Row],[Quantity in Stock]]</f>
        <v>12960</v>
      </c>
    </row>
    <row r="176" spans="1:13" x14ac:dyDescent="0.2">
      <c r="A176" t="s">
        <v>224</v>
      </c>
      <c r="B176" t="s">
        <v>21</v>
      </c>
      <c r="C176" t="s">
        <v>22</v>
      </c>
      <c r="D176" t="s">
        <v>30</v>
      </c>
      <c r="E176">
        <v>76</v>
      </c>
      <c r="F176">
        <v>98.8</v>
      </c>
      <c r="G176">
        <v>166</v>
      </c>
      <c r="H176">
        <v>50</v>
      </c>
      <c r="I176" t="s">
        <v>16</v>
      </c>
      <c r="J176" s="1">
        <v>45749</v>
      </c>
      <c r="K176" s="1">
        <v>45807</v>
      </c>
      <c r="L176" t="s">
        <v>23</v>
      </c>
      <c r="M176">
        <f>tblInventory[[#This Row],[Unit Cost]]*tblInventory[[#This Row],[Quantity in Stock]]</f>
        <v>12616</v>
      </c>
    </row>
    <row r="177" spans="1:13" x14ac:dyDescent="0.2">
      <c r="A177" t="s">
        <v>225</v>
      </c>
      <c r="B177" t="s">
        <v>65</v>
      </c>
      <c r="C177" t="s">
        <v>22</v>
      </c>
      <c r="D177" t="s">
        <v>26</v>
      </c>
      <c r="E177">
        <v>481</v>
      </c>
      <c r="F177">
        <v>673.4</v>
      </c>
      <c r="G177">
        <v>159</v>
      </c>
      <c r="H177">
        <v>30</v>
      </c>
      <c r="I177" t="s">
        <v>43</v>
      </c>
      <c r="J177" s="1">
        <v>46039</v>
      </c>
      <c r="K177" s="1">
        <v>46069</v>
      </c>
      <c r="L177" t="s">
        <v>23</v>
      </c>
      <c r="M177">
        <f>tblInventory[[#This Row],[Unit Cost]]*tblInventory[[#This Row],[Quantity in Stock]]</f>
        <v>76479</v>
      </c>
    </row>
    <row r="178" spans="1:13" x14ac:dyDescent="0.2">
      <c r="A178" t="s">
        <v>226</v>
      </c>
      <c r="B178" t="s">
        <v>21</v>
      </c>
      <c r="C178" t="s">
        <v>22</v>
      </c>
      <c r="D178" t="s">
        <v>35</v>
      </c>
      <c r="E178">
        <v>138</v>
      </c>
      <c r="F178">
        <v>165.6</v>
      </c>
      <c r="G178">
        <v>300</v>
      </c>
      <c r="H178">
        <v>10</v>
      </c>
      <c r="I178" t="s">
        <v>43</v>
      </c>
      <c r="J178" s="1">
        <v>45967</v>
      </c>
      <c r="K178" s="1">
        <v>46027</v>
      </c>
      <c r="L178" t="s">
        <v>23</v>
      </c>
      <c r="M178">
        <f>tblInventory[[#This Row],[Unit Cost]]*tblInventory[[#This Row],[Quantity in Stock]]</f>
        <v>41400</v>
      </c>
    </row>
    <row r="179" spans="1:13" x14ac:dyDescent="0.2">
      <c r="A179" t="s">
        <v>227</v>
      </c>
      <c r="B179" t="s">
        <v>25</v>
      </c>
      <c r="C179" t="s">
        <v>14</v>
      </c>
      <c r="D179" t="s">
        <v>15</v>
      </c>
      <c r="E179">
        <v>168</v>
      </c>
      <c r="F179">
        <v>201.6</v>
      </c>
      <c r="G179">
        <v>118</v>
      </c>
      <c r="H179">
        <v>30</v>
      </c>
      <c r="I179" t="s">
        <v>31</v>
      </c>
      <c r="J179" s="1">
        <v>46064</v>
      </c>
      <c r="K179" s="1">
        <v>46089</v>
      </c>
      <c r="L179" t="s">
        <v>23</v>
      </c>
      <c r="M179">
        <f>tblInventory[[#This Row],[Unit Cost]]*tblInventory[[#This Row],[Quantity in Stock]]</f>
        <v>19824</v>
      </c>
    </row>
    <row r="180" spans="1:13" x14ac:dyDescent="0.2">
      <c r="A180" t="s">
        <v>228</v>
      </c>
      <c r="B180" t="s">
        <v>37</v>
      </c>
      <c r="C180" t="s">
        <v>22</v>
      </c>
      <c r="D180" t="s">
        <v>26</v>
      </c>
      <c r="E180">
        <v>185</v>
      </c>
      <c r="F180">
        <v>259</v>
      </c>
      <c r="G180">
        <v>101</v>
      </c>
      <c r="H180">
        <v>30</v>
      </c>
      <c r="I180" t="s">
        <v>31</v>
      </c>
      <c r="J180" s="1">
        <v>46019</v>
      </c>
      <c r="K180" s="1">
        <v>46096</v>
      </c>
      <c r="L180" t="s">
        <v>23</v>
      </c>
      <c r="M180">
        <f>tblInventory[[#This Row],[Unit Cost]]*tblInventory[[#This Row],[Quantity in Stock]]</f>
        <v>18685</v>
      </c>
    </row>
    <row r="181" spans="1:13" x14ac:dyDescent="0.2">
      <c r="A181" t="s">
        <v>229</v>
      </c>
      <c r="B181" t="s">
        <v>87</v>
      </c>
      <c r="C181" t="s">
        <v>29</v>
      </c>
      <c r="D181" t="s">
        <v>30</v>
      </c>
      <c r="E181">
        <v>174</v>
      </c>
      <c r="F181">
        <v>243.6</v>
      </c>
      <c r="G181">
        <v>48</v>
      </c>
      <c r="H181">
        <v>20</v>
      </c>
      <c r="I181" t="s">
        <v>43</v>
      </c>
      <c r="J181" s="1">
        <v>45747</v>
      </c>
      <c r="K181" s="1">
        <v>45825</v>
      </c>
      <c r="L181" t="s">
        <v>23</v>
      </c>
      <c r="M181">
        <f>tblInventory[[#This Row],[Unit Cost]]*tblInventory[[#This Row],[Quantity in Stock]]</f>
        <v>8352</v>
      </c>
    </row>
    <row r="182" spans="1:13" x14ac:dyDescent="0.2">
      <c r="A182" t="s">
        <v>230</v>
      </c>
      <c r="B182" t="s">
        <v>13</v>
      </c>
      <c r="C182" t="s">
        <v>14</v>
      </c>
      <c r="D182" t="s">
        <v>40</v>
      </c>
      <c r="E182">
        <v>563</v>
      </c>
      <c r="F182">
        <v>731.9</v>
      </c>
      <c r="G182">
        <v>211</v>
      </c>
      <c r="H182">
        <v>40</v>
      </c>
      <c r="I182" t="s">
        <v>43</v>
      </c>
      <c r="J182" s="1">
        <v>46182</v>
      </c>
      <c r="K182" s="1">
        <v>46217</v>
      </c>
      <c r="L182" t="s">
        <v>23</v>
      </c>
      <c r="M182">
        <f>tblInventory[[#This Row],[Unit Cost]]*tblInventory[[#This Row],[Quantity in Stock]]</f>
        <v>118793</v>
      </c>
    </row>
    <row r="183" spans="1:13" x14ac:dyDescent="0.2">
      <c r="A183" t="s">
        <v>231</v>
      </c>
      <c r="B183" t="s">
        <v>161</v>
      </c>
      <c r="C183" t="s">
        <v>34</v>
      </c>
      <c r="D183" t="s">
        <v>30</v>
      </c>
      <c r="E183">
        <v>197</v>
      </c>
      <c r="F183">
        <v>295.5</v>
      </c>
      <c r="G183">
        <v>166</v>
      </c>
      <c r="H183">
        <v>30</v>
      </c>
      <c r="I183" t="s">
        <v>43</v>
      </c>
      <c r="J183" s="1">
        <v>45966</v>
      </c>
      <c r="K183" s="1">
        <v>46019</v>
      </c>
      <c r="L183" t="s">
        <v>23</v>
      </c>
      <c r="M183">
        <f>tblInventory[[#This Row],[Unit Cost]]*tblInventory[[#This Row],[Quantity in Stock]]</f>
        <v>32702</v>
      </c>
    </row>
    <row r="184" spans="1:13" x14ac:dyDescent="0.2">
      <c r="A184" t="s">
        <v>232</v>
      </c>
      <c r="B184" t="s">
        <v>21</v>
      </c>
      <c r="C184" t="s">
        <v>22</v>
      </c>
      <c r="D184" t="s">
        <v>26</v>
      </c>
      <c r="E184">
        <v>422</v>
      </c>
      <c r="F184">
        <v>506.4</v>
      </c>
      <c r="G184">
        <v>217</v>
      </c>
      <c r="H184">
        <v>50</v>
      </c>
      <c r="I184" t="s">
        <v>43</v>
      </c>
      <c r="J184" s="1">
        <v>45877</v>
      </c>
      <c r="K184" s="1">
        <v>45912</v>
      </c>
      <c r="L184" t="s">
        <v>23</v>
      </c>
      <c r="M184">
        <f>tblInventory[[#This Row],[Unit Cost]]*tblInventory[[#This Row],[Quantity in Stock]]</f>
        <v>91574</v>
      </c>
    </row>
    <row r="185" spans="1:13" x14ac:dyDescent="0.2">
      <c r="A185" t="s">
        <v>233</v>
      </c>
      <c r="B185" t="s">
        <v>57</v>
      </c>
      <c r="C185" t="s">
        <v>29</v>
      </c>
      <c r="D185" t="s">
        <v>26</v>
      </c>
      <c r="E185">
        <v>605</v>
      </c>
      <c r="F185">
        <v>907.5</v>
      </c>
      <c r="G185">
        <v>5</v>
      </c>
      <c r="H185">
        <v>50</v>
      </c>
      <c r="I185" t="s">
        <v>16</v>
      </c>
      <c r="J185" s="1">
        <v>45721</v>
      </c>
      <c r="K185" s="1">
        <v>45778</v>
      </c>
      <c r="L185" t="s">
        <v>17</v>
      </c>
      <c r="M185">
        <f>tblInventory[[#This Row],[Unit Cost]]*tblInventory[[#This Row],[Quantity in Stock]]</f>
        <v>3025</v>
      </c>
    </row>
    <row r="186" spans="1:13" x14ac:dyDescent="0.2">
      <c r="A186" t="s">
        <v>234</v>
      </c>
      <c r="B186" t="s">
        <v>60</v>
      </c>
      <c r="C186" t="s">
        <v>34</v>
      </c>
      <c r="D186" t="s">
        <v>30</v>
      </c>
      <c r="E186">
        <v>254</v>
      </c>
      <c r="F186">
        <v>330.2</v>
      </c>
      <c r="G186">
        <v>211</v>
      </c>
      <c r="H186">
        <v>15</v>
      </c>
      <c r="I186" t="s">
        <v>16</v>
      </c>
      <c r="J186" s="1">
        <v>46149</v>
      </c>
      <c r="K186" s="1">
        <v>46220</v>
      </c>
      <c r="L186" t="s">
        <v>23</v>
      </c>
      <c r="M186">
        <f>tblInventory[[#This Row],[Unit Cost]]*tblInventory[[#This Row],[Quantity in Stock]]</f>
        <v>53594</v>
      </c>
    </row>
    <row r="187" spans="1:13" x14ac:dyDescent="0.2">
      <c r="A187" t="s">
        <v>235</v>
      </c>
      <c r="B187" t="s">
        <v>50</v>
      </c>
      <c r="C187" t="s">
        <v>34</v>
      </c>
      <c r="D187" t="s">
        <v>35</v>
      </c>
      <c r="E187">
        <v>622</v>
      </c>
      <c r="F187">
        <v>933</v>
      </c>
      <c r="G187">
        <v>73</v>
      </c>
      <c r="H187">
        <v>15</v>
      </c>
      <c r="I187" t="s">
        <v>31</v>
      </c>
      <c r="J187" s="1">
        <v>45776</v>
      </c>
      <c r="K187" s="1">
        <v>45858</v>
      </c>
      <c r="L187" t="s">
        <v>23</v>
      </c>
      <c r="M187">
        <f>tblInventory[[#This Row],[Unit Cost]]*tblInventory[[#This Row],[Quantity in Stock]]</f>
        <v>45406</v>
      </c>
    </row>
    <row r="188" spans="1:13" x14ac:dyDescent="0.2">
      <c r="A188" t="s">
        <v>236</v>
      </c>
      <c r="B188" t="s">
        <v>52</v>
      </c>
      <c r="C188" t="s">
        <v>22</v>
      </c>
      <c r="D188" t="s">
        <v>35</v>
      </c>
      <c r="E188">
        <v>312</v>
      </c>
      <c r="F188">
        <v>468</v>
      </c>
      <c r="G188">
        <v>28</v>
      </c>
      <c r="H188">
        <v>15</v>
      </c>
      <c r="I188" t="s">
        <v>16</v>
      </c>
      <c r="J188" s="1">
        <v>46138</v>
      </c>
      <c r="K188" s="1">
        <v>46158</v>
      </c>
      <c r="L188" t="s">
        <v>23</v>
      </c>
      <c r="M188">
        <f>tblInventory[[#This Row],[Unit Cost]]*tblInventory[[#This Row],[Quantity in Stock]]</f>
        <v>8736</v>
      </c>
    </row>
    <row r="189" spans="1:13" x14ac:dyDescent="0.2">
      <c r="A189" t="s">
        <v>237</v>
      </c>
      <c r="B189" t="s">
        <v>48</v>
      </c>
      <c r="C189" t="s">
        <v>14</v>
      </c>
      <c r="D189" t="s">
        <v>30</v>
      </c>
      <c r="E189">
        <v>431</v>
      </c>
      <c r="F189">
        <v>517.20000000000005</v>
      </c>
      <c r="G189">
        <v>148</v>
      </c>
      <c r="H189">
        <v>25</v>
      </c>
      <c r="I189" t="s">
        <v>43</v>
      </c>
      <c r="J189" s="1">
        <v>45887</v>
      </c>
      <c r="K189" s="1">
        <v>45922</v>
      </c>
      <c r="L189" t="s">
        <v>23</v>
      </c>
      <c r="M189">
        <f>tblInventory[[#This Row],[Unit Cost]]*tblInventory[[#This Row],[Quantity in Stock]]</f>
        <v>63788</v>
      </c>
    </row>
    <row r="190" spans="1:13" x14ac:dyDescent="0.2">
      <c r="A190" t="s">
        <v>238</v>
      </c>
      <c r="B190" t="s">
        <v>25</v>
      </c>
      <c r="C190" t="s">
        <v>14</v>
      </c>
      <c r="D190" t="s">
        <v>15</v>
      </c>
      <c r="E190">
        <v>110</v>
      </c>
      <c r="F190">
        <v>132</v>
      </c>
      <c r="G190">
        <v>280</v>
      </c>
      <c r="H190">
        <v>30</v>
      </c>
      <c r="I190" t="s">
        <v>16</v>
      </c>
      <c r="J190" s="1">
        <v>45792</v>
      </c>
      <c r="K190" s="1">
        <v>45837</v>
      </c>
      <c r="L190" t="s">
        <v>23</v>
      </c>
      <c r="M190">
        <f>tblInventory[[#This Row],[Unit Cost]]*tblInventory[[#This Row],[Quantity in Stock]]</f>
        <v>30800</v>
      </c>
    </row>
    <row r="191" spans="1:13" x14ac:dyDescent="0.2">
      <c r="A191" t="s">
        <v>239</v>
      </c>
      <c r="B191" t="s">
        <v>74</v>
      </c>
      <c r="C191" t="s">
        <v>29</v>
      </c>
      <c r="D191" t="s">
        <v>19</v>
      </c>
      <c r="E191">
        <v>265</v>
      </c>
      <c r="F191">
        <v>397.5</v>
      </c>
      <c r="G191">
        <v>256</v>
      </c>
      <c r="H191">
        <v>50</v>
      </c>
      <c r="I191" t="s">
        <v>16</v>
      </c>
      <c r="J191" s="1">
        <v>46096</v>
      </c>
      <c r="K191" s="1">
        <v>46128</v>
      </c>
      <c r="L191" t="s">
        <v>23</v>
      </c>
      <c r="M191">
        <f>tblInventory[[#This Row],[Unit Cost]]*tblInventory[[#This Row],[Quantity in Stock]]</f>
        <v>67840</v>
      </c>
    </row>
    <row r="192" spans="1:13" x14ac:dyDescent="0.2">
      <c r="A192" t="s">
        <v>240</v>
      </c>
      <c r="B192" t="s">
        <v>21</v>
      </c>
      <c r="C192" t="s">
        <v>22</v>
      </c>
      <c r="D192" t="s">
        <v>15</v>
      </c>
      <c r="E192">
        <v>604</v>
      </c>
      <c r="F192">
        <v>845.6</v>
      </c>
      <c r="G192">
        <v>283</v>
      </c>
      <c r="H192">
        <v>40</v>
      </c>
      <c r="I192" t="s">
        <v>43</v>
      </c>
      <c r="J192" s="1">
        <v>46073</v>
      </c>
      <c r="K192" s="1">
        <v>46101</v>
      </c>
      <c r="L192" t="s">
        <v>23</v>
      </c>
      <c r="M192">
        <f>tblInventory[[#This Row],[Unit Cost]]*tblInventory[[#This Row],[Quantity in Stock]]</f>
        <v>170932</v>
      </c>
    </row>
    <row r="193" spans="1:13" x14ac:dyDescent="0.2">
      <c r="A193" t="s">
        <v>241</v>
      </c>
      <c r="B193" t="s">
        <v>70</v>
      </c>
      <c r="C193" t="s">
        <v>14</v>
      </c>
      <c r="D193" t="s">
        <v>30</v>
      </c>
      <c r="E193">
        <v>86</v>
      </c>
      <c r="F193">
        <v>120.4</v>
      </c>
      <c r="G193">
        <v>286</v>
      </c>
      <c r="H193">
        <v>25</v>
      </c>
      <c r="I193" t="s">
        <v>43</v>
      </c>
      <c r="J193" s="1">
        <v>45838</v>
      </c>
      <c r="K193" s="1">
        <v>45917</v>
      </c>
      <c r="L193" t="s">
        <v>23</v>
      </c>
      <c r="M193">
        <f>tblInventory[[#This Row],[Unit Cost]]*tblInventory[[#This Row],[Quantity in Stock]]</f>
        <v>24596</v>
      </c>
    </row>
    <row r="194" spans="1:13" x14ac:dyDescent="0.2">
      <c r="A194" t="s">
        <v>242</v>
      </c>
      <c r="B194" t="s">
        <v>60</v>
      </c>
      <c r="C194" t="s">
        <v>34</v>
      </c>
      <c r="D194" t="s">
        <v>19</v>
      </c>
      <c r="E194">
        <v>378</v>
      </c>
      <c r="F194">
        <v>491.4</v>
      </c>
      <c r="G194">
        <v>271</v>
      </c>
      <c r="H194">
        <v>25</v>
      </c>
      <c r="I194" t="s">
        <v>16</v>
      </c>
      <c r="J194" s="1">
        <v>46022</v>
      </c>
      <c r="K194" s="1">
        <v>46103</v>
      </c>
      <c r="L194" t="s">
        <v>23</v>
      </c>
      <c r="M194">
        <f>tblInventory[[#This Row],[Unit Cost]]*tblInventory[[#This Row],[Quantity in Stock]]</f>
        <v>102438</v>
      </c>
    </row>
    <row r="195" spans="1:13" x14ac:dyDescent="0.2">
      <c r="A195" t="s">
        <v>243</v>
      </c>
      <c r="B195" t="s">
        <v>25</v>
      </c>
      <c r="C195" t="s">
        <v>14</v>
      </c>
      <c r="D195" t="s">
        <v>19</v>
      </c>
      <c r="E195">
        <v>209</v>
      </c>
      <c r="F195">
        <v>292.60000000000002</v>
      </c>
      <c r="G195">
        <v>42</v>
      </c>
      <c r="H195">
        <v>20</v>
      </c>
      <c r="I195" t="s">
        <v>43</v>
      </c>
      <c r="J195" s="1">
        <v>46161</v>
      </c>
      <c r="K195" s="1">
        <v>46191</v>
      </c>
      <c r="L195" t="s">
        <v>23</v>
      </c>
      <c r="M195">
        <f>tblInventory[[#This Row],[Unit Cost]]*tblInventory[[#This Row],[Quantity in Stock]]</f>
        <v>8778</v>
      </c>
    </row>
    <row r="196" spans="1:13" x14ac:dyDescent="0.2">
      <c r="A196" t="s">
        <v>244</v>
      </c>
      <c r="B196" t="s">
        <v>104</v>
      </c>
      <c r="C196" t="s">
        <v>29</v>
      </c>
      <c r="D196" t="s">
        <v>26</v>
      </c>
      <c r="E196">
        <v>166</v>
      </c>
      <c r="F196">
        <v>249</v>
      </c>
      <c r="G196">
        <v>256</v>
      </c>
      <c r="H196">
        <v>40</v>
      </c>
      <c r="I196" t="s">
        <v>31</v>
      </c>
      <c r="J196" s="1">
        <v>45910</v>
      </c>
      <c r="K196" s="1">
        <v>45955</v>
      </c>
      <c r="L196" t="s">
        <v>23</v>
      </c>
      <c r="M196">
        <f>tblInventory[[#This Row],[Unit Cost]]*tblInventory[[#This Row],[Quantity in Stock]]</f>
        <v>42496</v>
      </c>
    </row>
    <row r="197" spans="1:13" x14ac:dyDescent="0.2">
      <c r="A197" t="s">
        <v>245</v>
      </c>
      <c r="B197" t="s">
        <v>57</v>
      </c>
      <c r="C197" t="s">
        <v>29</v>
      </c>
      <c r="D197" t="s">
        <v>19</v>
      </c>
      <c r="E197">
        <v>627</v>
      </c>
      <c r="F197">
        <v>752.4</v>
      </c>
      <c r="G197">
        <v>205</v>
      </c>
      <c r="H197">
        <v>30</v>
      </c>
      <c r="I197" t="s">
        <v>16</v>
      </c>
      <c r="J197" s="1">
        <v>45774</v>
      </c>
      <c r="K197" s="1">
        <v>45827</v>
      </c>
      <c r="L197" t="s">
        <v>23</v>
      </c>
      <c r="M197">
        <f>tblInventory[[#This Row],[Unit Cost]]*tblInventory[[#This Row],[Quantity in Stock]]</f>
        <v>128535</v>
      </c>
    </row>
    <row r="198" spans="1:13" x14ac:dyDescent="0.2">
      <c r="A198" t="s">
        <v>246</v>
      </c>
      <c r="B198" t="s">
        <v>21</v>
      </c>
      <c r="C198" t="s">
        <v>22</v>
      </c>
      <c r="D198" t="s">
        <v>35</v>
      </c>
      <c r="E198">
        <v>648</v>
      </c>
      <c r="F198">
        <v>907.2</v>
      </c>
      <c r="G198">
        <v>117</v>
      </c>
      <c r="H198">
        <v>15</v>
      </c>
      <c r="I198" t="s">
        <v>31</v>
      </c>
      <c r="J198" s="1">
        <v>46134</v>
      </c>
      <c r="K198" s="1">
        <v>46204</v>
      </c>
      <c r="L198" t="s">
        <v>23</v>
      </c>
      <c r="M198">
        <f>tblInventory[[#This Row],[Unit Cost]]*tblInventory[[#This Row],[Quantity in Stock]]</f>
        <v>75816</v>
      </c>
    </row>
    <row r="199" spans="1:13" x14ac:dyDescent="0.2">
      <c r="A199" t="s">
        <v>247</v>
      </c>
      <c r="B199" t="s">
        <v>70</v>
      </c>
      <c r="C199" t="s">
        <v>14</v>
      </c>
      <c r="D199" t="s">
        <v>40</v>
      </c>
      <c r="E199">
        <v>450</v>
      </c>
      <c r="F199">
        <v>630</v>
      </c>
      <c r="G199">
        <v>58</v>
      </c>
      <c r="H199">
        <v>15</v>
      </c>
      <c r="I199" t="s">
        <v>16</v>
      </c>
      <c r="J199" s="1">
        <v>46044</v>
      </c>
      <c r="K199" s="1">
        <v>46109</v>
      </c>
      <c r="L199" t="s">
        <v>23</v>
      </c>
      <c r="M199">
        <f>tblInventory[[#This Row],[Unit Cost]]*tblInventory[[#This Row],[Quantity in Stock]]</f>
        <v>26100</v>
      </c>
    </row>
    <row r="200" spans="1:13" x14ac:dyDescent="0.2">
      <c r="A200" t="s">
        <v>248</v>
      </c>
      <c r="B200" t="s">
        <v>65</v>
      </c>
      <c r="C200" t="s">
        <v>22</v>
      </c>
      <c r="D200" t="s">
        <v>15</v>
      </c>
      <c r="E200">
        <v>169</v>
      </c>
      <c r="F200">
        <v>202.8</v>
      </c>
      <c r="G200">
        <v>42</v>
      </c>
      <c r="H200">
        <v>50</v>
      </c>
      <c r="I200" t="s">
        <v>16</v>
      </c>
      <c r="J200" s="1">
        <v>45761</v>
      </c>
      <c r="K200" s="1">
        <v>45816</v>
      </c>
      <c r="L200" t="s">
        <v>17</v>
      </c>
      <c r="M200">
        <f>tblInventory[[#This Row],[Unit Cost]]*tblInventory[[#This Row],[Quantity in Stock]]</f>
        <v>7098</v>
      </c>
    </row>
    <row r="201" spans="1:13" x14ac:dyDescent="0.2">
      <c r="A201" t="s">
        <v>249</v>
      </c>
      <c r="B201" t="s">
        <v>74</v>
      </c>
      <c r="C201" t="s">
        <v>29</v>
      </c>
      <c r="D201" t="s">
        <v>35</v>
      </c>
      <c r="E201">
        <v>221</v>
      </c>
      <c r="F201">
        <v>309.39999999999998</v>
      </c>
      <c r="G201">
        <v>12</v>
      </c>
      <c r="H201">
        <v>30</v>
      </c>
      <c r="I201" t="s">
        <v>16</v>
      </c>
      <c r="J201" s="1">
        <v>46056</v>
      </c>
      <c r="K201" s="1">
        <v>46078</v>
      </c>
      <c r="L201" t="s">
        <v>17</v>
      </c>
      <c r="M201">
        <f>tblInventory[[#This Row],[Unit Cost]]*tblInventory[[#This Row],[Quantity in Stock]]</f>
        <v>2652</v>
      </c>
    </row>
    <row r="202" spans="1:13" x14ac:dyDescent="0.2">
      <c r="A202" t="s">
        <v>250</v>
      </c>
      <c r="B202" t="s">
        <v>13</v>
      </c>
      <c r="C202" t="s">
        <v>14</v>
      </c>
      <c r="D202" t="s">
        <v>26</v>
      </c>
      <c r="E202">
        <v>328</v>
      </c>
      <c r="F202">
        <v>426.4</v>
      </c>
      <c r="G202">
        <v>102</v>
      </c>
      <c r="H202">
        <v>20</v>
      </c>
      <c r="I202" t="s">
        <v>31</v>
      </c>
      <c r="J202" s="1">
        <v>45718</v>
      </c>
      <c r="K202" s="1">
        <v>45719</v>
      </c>
      <c r="L202" t="s">
        <v>23</v>
      </c>
      <c r="M202">
        <f>tblInventory[[#This Row],[Unit Cost]]*tblInventory[[#This Row],[Quantity in Stock]]</f>
        <v>33456</v>
      </c>
    </row>
    <row r="203" spans="1:13" x14ac:dyDescent="0.2">
      <c r="A203" t="s">
        <v>251</v>
      </c>
      <c r="B203" t="s">
        <v>68</v>
      </c>
      <c r="C203" t="s">
        <v>34</v>
      </c>
      <c r="D203" t="s">
        <v>30</v>
      </c>
      <c r="E203">
        <v>594</v>
      </c>
      <c r="F203">
        <v>891</v>
      </c>
      <c r="G203">
        <v>3</v>
      </c>
      <c r="H203">
        <v>25</v>
      </c>
      <c r="I203" t="s">
        <v>16</v>
      </c>
      <c r="J203" s="1">
        <v>45728</v>
      </c>
      <c r="K203" s="1">
        <v>45741</v>
      </c>
      <c r="L203" t="s">
        <v>17</v>
      </c>
      <c r="M203">
        <f>tblInventory[[#This Row],[Unit Cost]]*tblInventory[[#This Row],[Quantity in Stock]]</f>
        <v>1782</v>
      </c>
    </row>
    <row r="204" spans="1:13" x14ac:dyDescent="0.2">
      <c r="A204" t="s">
        <v>252</v>
      </c>
      <c r="B204" t="s">
        <v>46</v>
      </c>
      <c r="C204" t="s">
        <v>14</v>
      </c>
      <c r="D204" t="s">
        <v>40</v>
      </c>
      <c r="E204">
        <v>134</v>
      </c>
      <c r="F204">
        <v>174.2</v>
      </c>
      <c r="G204">
        <v>169</v>
      </c>
      <c r="H204">
        <v>15</v>
      </c>
      <c r="I204" t="s">
        <v>31</v>
      </c>
      <c r="J204" s="1">
        <v>46138</v>
      </c>
      <c r="K204" s="1">
        <v>46149</v>
      </c>
      <c r="L204" t="s">
        <v>23</v>
      </c>
      <c r="M204">
        <f>tblInventory[[#This Row],[Unit Cost]]*tblInventory[[#This Row],[Quantity in Stock]]</f>
        <v>22646</v>
      </c>
    </row>
    <row r="205" spans="1:13" x14ac:dyDescent="0.2">
      <c r="A205" t="s">
        <v>253</v>
      </c>
      <c r="B205" t="s">
        <v>46</v>
      </c>
      <c r="C205" t="s">
        <v>14</v>
      </c>
      <c r="D205" t="s">
        <v>35</v>
      </c>
      <c r="E205">
        <v>640</v>
      </c>
      <c r="F205">
        <v>768</v>
      </c>
      <c r="G205">
        <v>29</v>
      </c>
      <c r="H205">
        <v>40</v>
      </c>
      <c r="I205" t="s">
        <v>16</v>
      </c>
      <c r="J205" s="1">
        <v>45940</v>
      </c>
      <c r="K205" s="1">
        <v>45999</v>
      </c>
      <c r="L205" t="s">
        <v>17</v>
      </c>
      <c r="M205">
        <f>tblInventory[[#This Row],[Unit Cost]]*tblInventory[[#This Row],[Quantity in Stock]]</f>
        <v>18560</v>
      </c>
    </row>
    <row r="206" spans="1:13" x14ac:dyDescent="0.2">
      <c r="A206" t="s">
        <v>254</v>
      </c>
      <c r="B206" t="s">
        <v>46</v>
      </c>
      <c r="C206" t="s">
        <v>14</v>
      </c>
      <c r="D206" t="s">
        <v>30</v>
      </c>
      <c r="E206">
        <v>617</v>
      </c>
      <c r="F206">
        <v>863.8</v>
      </c>
      <c r="G206">
        <v>146</v>
      </c>
      <c r="H206">
        <v>40</v>
      </c>
      <c r="I206" t="s">
        <v>43</v>
      </c>
      <c r="J206" s="1">
        <v>45825</v>
      </c>
      <c r="K206" s="1">
        <v>45859</v>
      </c>
      <c r="L206" t="s">
        <v>23</v>
      </c>
      <c r="M206">
        <f>tblInventory[[#This Row],[Unit Cost]]*tblInventory[[#This Row],[Quantity in Stock]]</f>
        <v>90082</v>
      </c>
    </row>
    <row r="207" spans="1:13" x14ac:dyDescent="0.2">
      <c r="A207" t="s">
        <v>255</v>
      </c>
      <c r="B207" t="s">
        <v>63</v>
      </c>
      <c r="C207" t="s">
        <v>22</v>
      </c>
      <c r="D207" t="s">
        <v>19</v>
      </c>
      <c r="E207">
        <v>116</v>
      </c>
      <c r="F207">
        <v>150.80000000000001</v>
      </c>
      <c r="G207">
        <v>115</v>
      </c>
      <c r="H207">
        <v>30</v>
      </c>
      <c r="I207" t="s">
        <v>16</v>
      </c>
      <c r="J207" s="1">
        <v>45727</v>
      </c>
      <c r="K207" s="1">
        <v>45806</v>
      </c>
      <c r="L207" t="s">
        <v>23</v>
      </c>
      <c r="M207">
        <f>tblInventory[[#This Row],[Unit Cost]]*tblInventory[[#This Row],[Quantity in Stock]]</f>
        <v>13340</v>
      </c>
    </row>
    <row r="208" spans="1:13" x14ac:dyDescent="0.2">
      <c r="A208" t="s">
        <v>256</v>
      </c>
      <c r="B208" t="s">
        <v>104</v>
      </c>
      <c r="C208" t="s">
        <v>29</v>
      </c>
      <c r="D208" t="s">
        <v>40</v>
      </c>
      <c r="E208">
        <v>339</v>
      </c>
      <c r="F208">
        <v>406.8</v>
      </c>
      <c r="G208">
        <v>65</v>
      </c>
      <c r="H208">
        <v>30</v>
      </c>
      <c r="I208" t="s">
        <v>16</v>
      </c>
      <c r="J208" s="1">
        <v>45893</v>
      </c>
      <c r="K208" s="1">
        <v>45962</v>
      </c>
      <c r="L208" t="s">
        <v>23</v>
      </c>
      <c r="M208">
        <f>tblInventory[[#This Row],[Unit Cost]]*tblInventory[[#This Row],[Quantity in Stock]]</f>
        <v>22035</v>
      </c>
    </row>
    <row r="209" spans="1:13" x14ac:dyDescent="0.2">
      <c r="A209" t="s">
        <v>257</v>
      </c>
      <c r="B209" t="s">
        <v>25</v>
      </c>
      <c r="C209" t="s">
        <v>14</v>
      </c>
      <c r="D209" t="s">
        <v>26</v>
      </c>
      <c r="E209">
        <v>309</v>
      </c>
      <c r="F209">
        <v>370.8</v>
      </c>
      <c r="G209">
        <v>6</v>
      </c>
      <c r="H209">
        <v>40</v>
      </c>
      <c r="I209" t="s">
        <v>31</v>
      </c>
      <c r="J209" s="1">
        <v>46103</v>
      </c>
      <c r="K209" s="1">
        <v>46110</v>
      </c>
      <c r="L209" t="s">
        <v>17</v>
      </c>
      <c r="M209">
        <f>tblInventory[[#This Row],[Unit Cost]]*tblInventory[[#This Row],[Quantity in Stock]]</f>
        <v>1854</v>
      </c>
    </row>
    <row r="210" spans="1:13" x14ac:dyDescent="0.2">
      <c r="A210" t="s">
        <v>258</v>
      </c>
      <c r="B210" t="s">
        <v>74</v>
      </c>
      <c r="C210" t="s">
        <v>29</v>
      </c>
      <c r="D210" t="s">
        <v>26</v>
      </c>
      <c r="E210">
        <v>184</v>
      </c>
      <c r="F210">
        <v>276</v>
      </c>
      <c r="G210">
        <v>148</v>
      </c>
      <c r="H210">
        <v>25</v>
      </c>
      <c r="I210" t="s">
        <v>16</v>
      </c>
      <c r="J210" s="1">
        <v>46053</v>
      </c>
      <c r="K210" s="1">
        <v>46127</v>
      </c>
      <c r="L210" t="s">
        <v>23</v>
      </c>
      <c r="M210">
        <f>tblInventory[[#This Row],[Unit Cost]]*tblInventory[[#This Row],[Quantity in Stock]]</f>
        <v>27232</v>
      </c>
    </row>
    <row r="211" spans="1:13" x14ac:dyDescent="0.2">
      <c r="A211" t="s">
        <v>259</v>
      </c>
      <c r="B211" t="s">
        <v>74</v>
      </c>
      <c r="C211" t="s">
        <v>29</v>
      </c>
      <c r="D211" t="s">
        <v>26</v>
      </c>
      <c r="E211">
        <v>161</v>
      </c>
      <c r="F211">
        <v>225.4</v>
      </c>
      <c r="G211">
        <v>257</v>
      </c>
      <c r="H211">
        <v>15</v>
      </c>
      <c r="I211" t="s">
        <v>16</v>
      </c>
      <c r="J211" s="1">
        <v>45742</v>
      </c>
      <c r="K211" s="1">
        <v>45764</v>
      </c>
      <c r="L211" t="s">
        <v>23</v>
      </c>
      <c r="M211">
        <f>tblInventory[[#This Row],[Unit Cost]]*tblInventory[[#This Row],[Quantity in Stock]]</f>
        <v>41377</v>
      </c>
    </row>
    <row r="212" spans="1:13" x14ac:dyDescent="0.2">
      <c r="A212" t="s">
        <v>260</v>
      </c>
      <c r="B212" t="s">
        <v>161</v>
      </c>
      <c r="C212" t="s">
        <v>34</v>
      </c>
      <c r="D212" t="s">
        <v>30</v>
      </c>
      <c r="E212">
        <v>410</v>
      </c>
      <c r="F212">
        <v>615</v>
      </c>
      <c r="G212">
        <v>216</v>
      </c>
      <c r="H212">
        <v>15</v>
      </c>
      <c r="I212" t="s">
        <v>16</v>
      </c>
      <c r="J212" s="1">
        <v>46107</v>
      </c>
      <c r="K212" s="1">
        <v>46166</v>
      </c>
      <c r="L212" t="s">
        <v>23</v>
      </c>
      <c r="M212">
        <f>tblInventory[[#This Row],[Unit Cost]]*tblInventory[[#This Row],[Quantity in Stock]]</f>
        <v>88560</v>
      </c>
    </row>
    <row r="213" spans="1:13" x14ac:dyDescent="0.2">
      <c r="A213" t="s">
        <v>261</v>
      </c>
      <c r="B213" t="s">
        <v>65</v>
      </c>
      <c r="C213" t="s">
        <v>22</v>
      </c>
      <c r="D213" t="s">
        <v>15</v>
      </c>
      <c r="E213">
        <v>199</v>
      </c>
      <c r="F213">
        <v>258.7</v>
      </c>
      <c r="G213">
        <v>128</v>
      </c>
      <c r="H213">
        <v>25</v>
      </c>
      <c r="I213" t="s">
        <v>43</v>
      </c>
      <c r="J213" s="1">
        <v>45944</v>
      </c>
      <c r="K213" s="1">
        <v>45984</v>
      </c>
      <c r="L213" t="s">
        <v>23</v>
      </c>
      <c r="M213">
        <f>tblInventory[[#This Row],[Unit Cost]]*tblInventory[[#This Row],[Quantity in Stock]]</f>
        <v>25472</v>
      </c>
    </row>
    <row r="214" spans="1:13" x14ac:dyDescent="0.2">
      <c r="A214" t="s">
        <v>262</v>
      </c>
      <c r="B214" t="s">
        <v>116</v>
      </c>
      <c r="C214" t="s">
        <v>22</v>
      </c>
      <c r="D214" t="s">
        <v>40</v>
      </c>
      <c r="E214">
        <v>674</v>
      </c>
      <c r="F214">
        <v>876.2</v>
      </c>
      <c r="G214">
        <v>41</v>
      </c>
      <c r="H214">
        <v>50</v>
      </c>
      <c r="I214" t="s">
        <v>31</v>
      </c>
      <c r="J214" s="1">
        <v>45752</v>
      </c>
      <c r="K214" s="1">
        <v>45820</v>
      </c>
      <c r="L214" t="s">
        <v>17</v>
      </c>
      <c r="M214">
        <f>tblInventory[[#This Row],[Unit Cost]]*tblInventory[[#This Row],[Quantity in Stock]]</f>
        <v>27634</v>
      </c>
    </row>
    <row r="215" spans="1:13" x14ac:dyDescent="0.2">
      <c r="A215" t="s">
        <v>263</v>
      </c>
      <c r="B215" t="s">
        <v>46</v>
      </c>
      <c r="C215" t="s">
        <v>14</v>
      </c>
      <c r="D215" t="s">
        <v>40</v>
      </c>
      <c r="E215">
        <v>113</v>
      </c>
      <c r="F215">
        <v>135.6</v>
      </c>
      <c r="G215">
        <v>60</v>
      </c>
      <c r="H215">
        <v>30</v>
      </c>
      <c r="I215" t="s">
        <v>16</v>
      </c>
      <c r="J215" s="1">
        <v>45784</v>
      </c>
      <c r="K215" s="1">
        <v>45853</v>
      </c>
      <c r="L215" t="s">
        <v>23</v>
      </c>
      <c r="M215">
        <f>tblInventory[[#This Row],[Unit Cost]]*tblInventory[[#This Row],[Quantity in Stock]]</f>
        <v>6780</v>
      </c>
    </row>
    <row r="216" spans="1:13" x14ac:dyDescent="0.2">
      <c r="A216" t="s">
        <v>264</v>
      </c>
      <c r="B216" t="s">
        <v>48</v>
      </c>
      <c r="C216" t="s">
        <v>14</v>
      </c>
      <c r="D216" t="s">
        <v>15</v>
      </c>
      <c r="E216">
        <v>477</v>
      </c>
      <c r="F216">
        <v>715.5</v>
      </c>
      <c r="G216">
        <v>166</v>
      </c>
      <c r="H216">
        <v>15</v>
      </c>
      <c r="I216" t="s">
        <v>31</v>
      </c>
      <c r="J216" s="1">
        <v>45944</v>
      </c>
      <c r="K216" s="1">
        <v>46029</v>
      </c>
      <c r="L216" t="s">
        <v>23</v>
      </c>
      <c r="M216">
        <f>tblInventory[[#This Row],[Unit Cost]]*tblInventory[[#This Row],[Quantity in Stock]]</f>
        <v>79182</v>
      </c>
    </row>
    <row r="217" spans="1:13" x14ac:dyDescent="0.2">
      <c r="A217" t="s">
        <v>265</v>
      </c>
      <c r="B217" t="s">
        <v>13</v>
      </c>
      <c r="C217" t="s">
        <v>14</v>
      </c>
      <c r="D217" t="s">
        <v>35</v>
      </c>
      <c r="E217">
        <v>298</v>
      </c>
      <c r="F217">
        <v>357.6</v>
      </c>
      <c r="G217">
        <v>200</v>
      </c>
      <c r="H217">
        <v>30</v>
      </c>
      <c r="I217" t="s">
        <v>43</v>
      </c>
      <c r="J217" s="1">
        <v>45721</v>
      </c>
      <c r="K217" s="1">
        <v>45774</v>
      </c>
      <c r="L217" t="s">
        <v>23</v>
      </c>
      <c r="M217">
        <f>tblInventory[[#This Row],[Unit Cost]]*tblInventory[[#This Row],[Quantity in Stock]]</f>
        <v>59600</v>
      </c>
    </row>
    <row r="218" spans="1:13" x14ac:dyDescent="0.2">
      <c r="A218" t="s">
        <v>266</v>
      </c>
      <c r="B218" t="s">
        <v>63</v>
      </c>
      <c r="C218" t="s">
        <v>22</v>
      </c>
      <c r="D218" t="s">
        <v>26</v>
      </c>
      <c r="E218">
        <v>542</v>
      </c>
      <c r="F218">
        <v>758.8</v>
      </c>
      <c r="G218">
        <v>50</v>
      </c>
      <c r="H218">
        <v>50</v>
      </c>
      <c r="I218" t="s">
        <v>16</v>
      </c>
      <c r="J218" s="1">
        <v>46157</v>
      </c>
      <c r="K218" s="1">
        <v>46228</v>
      </c>
      <c r="L218" t="s">
        <v>17</v>
      </c>
      <c r="M218">
        <f>tblInventory[[#This Row],[Unit Cost]]*tblInventory[[#This Row],[Quantity in Stock]]</f>
        <v>27100</v>
      </c>
    </row>
    <row r="219" spans="1:13" x14ac:dyDescent="0.2">
      <c r="A219" t="s">
        <v>267</v>
      </c>
      <c r="B219" t="s">
        <v>28</v>
      </c>
      <c r="C219" t="s">
        <v>29</v>
      </c>
      <c r="D219" t="s">
        <v>40</v>
      </c>
      <c r="E219">
        <v>571</v>
      </c>
      <c r="F219">
        <v>856.5</v>
      </c>
      <c r="G219">
        <v>35</v>
      </c>
      <c r="H219">
        <v>40</v>
      </c>
      <c r="I219" t="s">
        <v>31</v>
      </c>
      <c r="J219" s="1">
        <v>45889</v>
      </c>
      <c r="K219" s="1">
        <v>45961</v>
      </c>
      <c r="L219" t="s">
        <v>17</v>
      </c>
      <c r="M219">
        <f>tblInventory[[#This Row],[Unit Cost]]*tblInventory[[#This Row],[Quantity in Stock]]</f>
        <v>19985</v>
      </c>
    </row>
    <row r="220" spans="1:13" x14ac:dyDescent="0.2">
      <c r="A220" t="s">
        <v>268</v>
      </c>
      <c r="B220" t="s">
        <v>65</v>
      </c>
      <c r="C220" t="s">
        <v>22</v>
      </c>
      <c r="D220" t="s">
        <v>35</v>
      </c>
      <c r="E220">
        <v>519</v>
      </c>
      <c r="F220">
        <v>622.79999999999995</v>
      </c>
      <c r="G220">
        <v>183</v>
      </c>
      <c r="H220">
        <v>10</v>
      </c>
      <c r="I220" t="s">
        <v>16</v>
      </c>
      <c r="J220" s="1">
        <v>46032</v>
      </c>
      <c r="K220" s="1">
        <v>46054</v>
      </c>
      <c r="L220" t="s">
        <v>23</v>
      </c>
      <c r="M220">
        <f>tblInventory[[#This Row],[Unit Cost]]*tblInventory[[#This Row],[Quantity in Stock]]</f>
        <v>94977</v>
      </c>
    </row>
    <row r="221" spans="1:13" x14ac:dyDescent="0.2">
      <c r="A221" t="s">
        <v>269</v>
      </c>
      <c r="B221" t="s">
        <v>48</v>
      </c>
      <c r="C221" t="s">
        <v>14</v>
      </c>
      <c r="D221" t="s">
        <v>30</v>
      </c>
      <c r="E221">
        <v>222</v>
      </c>
      <c r="F221">
        <v>333</v>
      </c>
      <c r="G221">
        <v>147</v>
      </c>
      <c r="H221">
        <v>50</v>
      </c>
      <c r="I221" t="s">
        <v>31</v>
      </c>
      <c r="J221" s="1">
        <v>45915</v>
      </c>
      <c r="K221" s="1">
        <v>45960</v>
      </c>
      <c r="L221" t="s">
        <v>23</v>
      </c>
      <c r="M221">
        <f>tblInventory[[#This Row],[Unit Cost]]*tblInventory[[#This Row],[Quantity in Stock]]</f>
        <v>32634</v>
      </c>
    </row>
    <row r="222" spans="1:13" x14ac:dyDescent="0.2">
      <c r="A222" t="s">
        <v>270</v>
      </c>
      <c r="B222" t="s">
        <v>60</v>
      </c>
      <c r="C222" t="s">
        <v>34</v>
      </c>
      <c r="D222" t="s">
        <v>40</v>
      </c>
      <c r="E222">
        <v>233</v>
      </c>
      <c r="F222">
        <v>279.60000000000002</v>
      </c>
      <c r="G222">
        <v>253</v>
      </c>
      <c r="H222">
        <v>20</v>
      </c>
      <c r="I222" t="s">
        <v>16</v>
      </c>
      <c r="J222" s="1">
        <v>45754</v>
      </c>
      <c r="K222" s="1">
        <v>45836</v>
      </c>
      <c r="L222" t="s">
        <v>23</v>
      </c>
      <c r="M222">
        <f>tblInventory[[#This Row],[Unit Cost]]*tblInventory[[#This Row],[Quantity in Stock]]</f>
        <v>58949</v>
      </c>
    </row>
    <row r="223" spans="1:13" x14ac:dyDescent="0.2">
      <c r="A223" t="s">
        <v>271</v>
      </c>
      <c r="B223" t="s">
        <v>68</v>
      </c>
      <c r="C223" t="s">
        <v>34</v>
      </c>
      <c r="D223" t="s">
        <v>26</v>
      </c>
      <c r="E223">
        <v>326</v>
      </c>
      <c r="F223">
        <v>489</v>
      </c>
      <c r="G223">
        <v>262</v>
      </c>
      <c r="H223">
        <v>10</v>
      </c>
      <c r="I223" t="s">
        <v>16</v>
      </c>
      <c r="J223" s="1">
        <v>45971</v>
      </c>
      <c r="K223" s="1">
        <v>45987</v>
      </c>
      <c r="L223" t="s">
        <v>23</v>
      </c>
      <c r="M223">
        <f>tblInventory[[#This Row],[Unit Cost]]*tblInventory[[#This Row],[Quantity in Stock]]</f>
        <v>85412</v>
      </c>
    </row>
    <row r="224" spans="1:13" x14ac:dyDescent="0.2">
      <c r="A224" t="s">
        <v>272</v>
      </c>
      <c r="B224" t="s">
        <v>153</v>
      </c>
      <c r="C224" t="s">
        <v>34</v>
      </c>
      <c r="D224" t="s">
        <v>19</v>
      </c>
      <c r="E224">
        <v>412</v>
      </c>
      <c r="F224">
        <v>535.6</v>
      </c>
      <c r="G224">
        <v>247</v>
      </c>
      <c r="H224">
        <v>30</v>
      </c>
      <c r="I224" t="s">
        <v>16</v>
      </c>
      <c r="J224" s="1">
        <v>45830</v>
      </c>
      <c r="K224" s="1">
        <v>45903</v>
      </c>
      <c r="L224" t="s">
        <v>23</v>
      </c>
      <c r="M224">
        <f>tblInventory[[#This Row],[Unit Cost]]*tblInventory[[#This Row],[Quantity in Stock]]</f>
        <v>101764</v>
      </c>
    </row>
    <row r="225" spans="1:13" x14ac:dyDescent="0.2">
      <c r="A225" t="s">
        <v>273</v>
      </c>
      <c r="B225" t="s">
        <v>87</v>
      </c>
      <c r="C225" t="s">
        <v>29</v>
      </c>
      <c r="D225" t="s">
        <v>19</v>
      </c>
      <c r="E225">
        <v>24</v>
      </c>
      <c r="F225">
        <v>36</v>
      </c>
      <c r="G225">
        <v>26</v>
      </c>
      <c r="H225">
        <v>25</v>
      </c>
      <c r="I225" t="s">
        <v>43</v>
      </c>
      <c r="J225" s="1">
        <v>45924</v>
      </c>
      <c r="K225" s="1">
        <v>45992</v>
      </c>
      <c r="L225" t="s">
        <v>23</v>
      </c>
      <c r="M225">
        <f>tblInventory[[#This Row],[Unit Cost]]*tblInventory[[#This Row],[Quantity in Stock]]</f>
        <v>624</v>
      </c>
    </row>
    <row r="226" spans="1:13" x14ac:dyDescent="0.2">
      <c r="A226" t="s">
        <v>274</v>
      </c>
      <c r="B226" t="s">
        <v>65</v>
      </c>
      <c r="C226" t="s">
        <v>22</v>
      </c>
      <c r="D226" t="s">
        <v>40</v>
      </c>
      <c r="E226">
        <v>613</v>
      </c>
      <c r="F226">
        <v>858.2</v>
      </c>
      <c r="G226">
        <v>75</v>
      </c>
      <c r="H226">
        <v>15</v>
      </c>
      <c r="I226" t="s">
        <v>31</v>
      </c>
      <c r="J226" s="1">
        <v>45783</v>
      </c>
      <c r="K226" s="1">
        <v>45814</v>
      </c>
      <c r="L226" t="s">
        <v>23</v>
      </c>
      <c r="M226">
        <f>tblInventory[[#This Row],[Unit Cost]]*tblInventory[[#This Row],[Quantity in Stock]]</f>
        <v>45975</v>
      </c>
    </row>
    <row r="227" spans="1:13" x14ac:dyDescent="0.2">
      <c r="A227" t="s">
        <v>275</v>
      </c>
      <c r="B227" t="s">
        <v>28</v>
      </c>
      <c r="C227" t="s">
        <v>29</v>
      </c>
      <c r="D227" t="s">
        <v>35</v>
      </c>
      <c r="E227">
        <v>12</v>
      </c>
      <c r="F227">
        <v>18</v>
      </c>
      <c r="G227">
        <v>83</v>
      </c>
      <c r="H227">
        <v>20</v>
      </c>
      <c r="I227" t="s">
        <v>31</v>
      </c>
      <c r="J227" s="1">
        <v>46108</v>
      </c>
      <c r="K227" s="1">
        <v>46148</v>
      </c>
      <c r="L227" t="s">
        <v>23</v>
      </c>
      <c r="M227">
        <f>tblInventory[[#This Row],[Unit Cost]]*tblInventory[[#This Row],[Quantity in Stock]]</f>
        <v>996</v>
      </c>
    </row>
    <row r="228" spans="1:13" x14ac:dyDescent="0.2">
      <c r="A228" t="s">
        <v>276</v>
      </c>
      <c r="B228" t="s">
        <v>46</v>
      </c>
      <c r="C228" t="s">
        <v>14</v>
      </c>
      <c r="D228" t="s">
        <v>19</v>
      </c>
      <c r="E228">
        <v>369</v>
      </c>
      <c r="F228">
        <v>442.8</v>
      </c>
      <c r="G228">
        <v>37</v>
      </c>
      <c r="H228">
        <v>10</v>
      </c>
      <c r="I228" t="s">
        <v>31</v>
      </c>
      <c r="J228" s="1">
        <v>46100</v>
      </c>
      <c r="K228" s="1">
        <v>46186</v>
      </c>
      <c r="L228" t="s">
        <v>23</v>
      </c>
      <c r="M228">
        <f>tblInventory[[#This Row],[Unit Cost]]*tblInventory[[#This Row],[Quantity in Stock]]</f>
        <v>13653</v>
      </c>
    </row>
    <row r="229" spans="1:13" x14ac:dyDescent="0.2">
      <c r="A229" t="s">
        <v>277</v>
      </c>
      <c r="B229" t="s">
        <v>65</v>
      </c>
      <c r="C229" t="s">
        <v>22</v>
      </c>
      <c r="D229" t="s">
        <v>19</v>
      </c>
      <c r="E229">
        <v>381</v>
      </c>
      <c r="F229">
        <v>533.4</v>
      </c>
      <c r="G229">
        <v>218</v>
      </c>
      <c r="H229">
        <v>25</v>
      </c>
      <c r="I229" t="s">
        <v>16</v>
      </c>
      <c r="J229" s="1">
        <v>46136</v>
      </c>
      <c r="K229" s="1">
        <v>46183</v>
      </c>
      <c r="L229" t="s">
        <v>23</v>
      </c>
      <c r="M229">
        <f>tblInventory[[#This Row],[Unit Cost]]*tblInventory[[#This Row],[Quantity in Stock]]</f>
        <v>83058</v>
      </c>
    </row>
    <row r="230" spans="1:13" x14ac:dyDescent="0.2">
      <c r="A230" t="s">
        <v>278</v>
      </c>
      <c r="B230" t="s">
        <v>13</v>
      </c>
      <c r="C230" t="s">
        <v>14</v>
      </c>
      <c r="D230" t="s">
        <v>15</v>
      </c>
      <c r="E230">
        <v>186</v>
      </c>
      <c r="F230">
        <v>279</v>
      </c>
      <c r="G230">
        <v>180</v>
      </c>
      <c r="H230">
        <v>20</v>
      </c>
      <c r="I230" t="s">
        <v>16</v>
      </c>
      <c r="J230" s="1">
        <v>45957</v>
      </c>
      <c r="K230" s="1">
        <v>45990</v>
      </c>
      <c r="L230" t="s">
        <v>23</v>
      </c>
      <c r="M230">
        <f>tblInventory[[#This Row],[Unit Cost]]*tblInventory[[#This Row],[Quantity in Stock]]</f>
        <v>33480</v>
      </c>
    </row>
    <row r="231" spans="1:13" x14ac:dyDescent="0.2">
      <c r="A231" t="s">
        <v>279</v>
      </c>
      <c r="B231" t="s">
        <v>52</v>
      </c>
      <c r="C231" t="s">
        <v>22</v>
      </c>
      <c r="D231" t="s">
        <v>15</v>
      </c>
      <c r="E231">
        <v>238</v>
      </c>
      <c r="F231">
        <v>357</v>
      </c>
      <c r="G231">
        <v>211</v>
      </c>
      <c r="H231">
        <v>40</v>
      </c>
      <c r="I231" t="s">
        <v>31</v>
      </c>
      <c r="J231" s="1">
        <v>45724</v>
      </c>
      <c r="K231" s="1">
        <v>45731</v>
      </c>
      <c r="L231" t="s">
        <v>23</v>
      </c>
      <c r="M231">
        <f>tblInventory[[#This Row],[Unit Cost]]*tblInventory[[#This Row],[Quantity in Stock]]</f>
        <v>50218</v>
      </c>
    </row>
    <row r="232" spans="1:13" x14ac:dyDescent="0.2">
      <c r="A232" t="s">
        <v>280</v>
      </c>
      <c r="B232" t="s">
        <v>28</v>
      </c>
      <c r="C232" t="s">
        <v>29</v>
      </c>
      <c r="D232" t="s">
        <v>15</v>
      </c>
      <c r="E232">
        <v>250</v>
      </c>
      <c r="F232">
        <v>375</v>
      </c>
      <c r="G232">
        <v>42</v>
      </c>
      <c r="H232">
        <v>30</v>
      </c>
      <c r="I232" t="s">
        <v>31</v>
      </c>
      <c r="J232" s="1">
        <v>45833</v>
      </c>
      <c r="K232" s="1">
        <v>45846</v>
      </c>
      <c r="L232" t="s">
        <v>23</v>
      </c>
      <c r="M232">
        <f>tblInventory[[#This Row],[Unit Cost]]*tblInventory[[#This Row],[Quantity in Stock]]</f>
        <v>10500</v>
      </c>
    </row>
    <row r="233" spans="1:13" x14ac:dyDescent="0.2">
      <c r="A233" t="s">
        <v>281</v>
      </c>
      <c r="B233" t="s">
        <v>42</v>
      </c>
      <c r="C233" t="s">
        <v>34</v>
      </c>
      <c r="D233" t="s">
        <v>40</v>
      </c>
      <c r="E233">
        <v>438</v>
      </c>
      <c r="F233">
        <v>569.4</v>
      </c>
      <c r="G233">
        <v>278</v>
      </c>
      <c r="H233">
        <v>25</v>
      </c>
      <c r="I233" t="s">
        <v>16</v>
      </c>
      <c r="J233" s="1">
        <v>45840</v>
      </c>
      <c r="K233" s="1">
        <v>45927</v>
      </c>
      <c r="L233" t="s">
        <v>23</v>
      </c>
      <c r="M233">
        <f>tblInventory[[#This Row],[Unit Cost]]*tblInventory[[#This Row],[Quantity in Stock]]</f>
        <v>121764</v>
      </c>
    </row>
    <row r="234" spans="1:13" x14ac:dyDescent="0.2">
      <c r="A234" t="s">
        <v>282</v>
      </c>
      <c r="B234" t="s">
        <v>68</v>
      </c>
      <c r="C234" t="s">
        <v>34</v>
      </c>
      <c r="D234" t="s">
        <v>35</v>
      </c>
      <c r="E234">
        <v>650</v>
      </c>
      <c r="F234">
        <v>780</v>
      </c>
      <c r="G234">
        <v>111</v>
      </c>
      <c r="H234">
        <v>50</v>
      </c>
      <c r="I234" t="s">
        <v>31</v>
      </c>
      <c r="J234" s="1">
        <v>45833</v>
      </c>
      <c r="K234" s="1">
        <v>45836</v>
      </c>
      <c r="L234" t="s">
        <v>23</v>
      </c>
      <c r="M234">
        <f>tblInventory[[#This Row],[Unit Cost]]*tblInventory[[#This Row],[Quantity in Stock]]</f>
        <v>72150</v>
      </c>
    </row>
    <row r="235" spans="1:13" x14ac:dyDescent="0.2">
      <c r="A235" t="s">
        <v>283</v>
      </c>
      <c r="B235" t="s">
        <v>65</v>
      </c>
      <c r="C235" t="s">
        <v>22</v>
      </c>
      <c r="D235" t="s">
        <v>35</v>
      </c>
      <c r="E235">
        <v>92</v>
      </c>
      <c r="F235">
        <v>110.4</v>
      </c>
      <c r="G235">
        <v>185</v>
      </c>
      <c r="H235">
        <v>50</v>
      </c>
      <c r="I235" t="s">
        <v>16</v>
      </c>
      <c r="J235" s="1">
        <v>45924</v>
      </c>
      <c r="K235" s="1">
        <v>45943</v>
      </c>
      <c r="L235" t="s">
        <v>23</v>
      </c>
      <c r="M235">
        <f>tblInventory[[#This Row],[Unit Cost]]*tblInventory[[#This Row],[Quantity in Stock]]</f>
        <v>17020</v>
      </c>
    </row>
    <row r="236" spans="1:13" x14ac:dyDescent="0.2">
      <c r="A236" t="s">
        <v>284</v>
      </c>
      <c r="B236" t="s">
        <v>63</v>
      </c>
      <c r="C236" t="s">
        <v>22</v>
      </c>
      <c r="D236" t="s">
        <v>26</v>
      </c>
      <c r="E236">
        <v>532</v>
      </c>
      <c r="F236">
        <v>691.6</v>
      </c>
      <c r="G236">
        <v>98</v>
      </c>
      <c r="H236">
        <v>25</v>
      </c>
      <c r="I236" t="s">
        <v>16</v>
      </c>
      <c r="J236" s="1">
        <v>45692</v>
      </c>
      <c r="K236" s="1">
        <v>45701</v>
      </c>
      <c r="L236" t="s">
        <v>23</v>
      </c>
      <c r="M236">
        <f>tblInventory[[#This Row],[Unit Cost]]*tblInventory[[#This Row],[Quantity in Stock]]</f>
        <v>52136</v>
      </c>
    </row>
    <row r="237" spans="1:13" x14ac:dyDescent="0.2">
      <c r="A237" t="s">
        <v>285</v>
      </c>
      <c r="B237" t="s">
        <v>116</v>
      </c>
      <c r="C237" t="s">
        <v>22</v>
      </c>
      <c r="D237" t="s">
        <v>40</v>
      </c>
      <c r="E237">
        <v>522</v>
      </c>
      <c r="F237">
        <v>678.6</v>
      </c>
      <c r="G237">
        <v>171</v>
      </c>
      <c r="H237">
        <v>20</v>
      </c>
      <c r="I237" t="s">
        <v>43</v>
      </c>
      <c r="J237" s="1">
        <v>46026</v>
      </c>
      <c r="K237" s="1">
        <v>46112</v>
      </c>
      <c r="L237" t="s">
        <v>23</v>
      </c>
      <c r="M237">
        <f>tblInventory[[#This Row],[Unit Cost]]*tblInventory[[#This Row],[Quantity in Stock]]</f>
        <v>89262</v>
      </c>
    </row>
    <row r="238" spans="1:13" x14ac:dyDescent="0.2">
      <c r="A238" t="s">
        <v>286</v>
      </c>
      <c r="B238" t="s">
        <v>25</v>
      </c>
      <c r="C238" t="s">
        <v>14</v>
      </c>
      <c r="D238" t="s">
        <v>35</v>
      </c>
      <c r="E238">
        <v>395</v>
      </c>
      <c r="F238">
        <v>513.5</v>
      </c>
      <c r="G238">
        <v>78</v>
      </c>
      <c r="H238">
        <v>15</v>
      </c>
      <c r="I238" t="s">
        <v>16</v>
      </c>
      <c r="J238" s="1">
        <v>45783</v>
      </c>
      <c r="K238" s="1">
        <v>45807</v>
      </c>
      <c r="L238" t="s">
        <v>23</v>
      </c>
      <c r="M238">
        <f>tblInventory[[#This Row],[Unit Cost]]*tblInventory[[#This Row],[Quantity in Stock]]</f>
        <v>30810</v>
      </c>
    </row>
    <row r="239" spans="1:13" x14ac:dyDescent="0.2">
      <c r="A239" t="s">
        <v>287</v>
      </c>
      <c r="B239" t="s">
        <v>52</v>
      </c>
      <c r="C239" t="s">
        <v>22</v>
      </c>
      <c r="D239" t="s">
        <v>19</v>
      </c>
      <c r="E239">
        <v>497</v>
      </c>
      <c r="F239">
        <v>596.4</v>
      </c>
      <c r="G239">
        <v>141</v>
      </c>
      <c r="H239">
        <v>20</v>
      </c>
      <c r="I239" t="s">
        <v>43</v>
      </c>
      <c r="J239" s="1">
        <v>45857</v>
      </c>
      <c r="K239" s="1">
        <v>45884</v>
      </c>
      <c r="L239" t="s">
        <v>23</v>
      </c>
      <c r="M239">
        <f>tblInventory[[#This Row],[Unit Cost]]*tblInventory[[#This Row],[Quantity in Stock]]</f>
        <v>70077</v>
      </c>
    </row>
    <row r="240" spans="1:13" x14ac:dyDescent="0.2">
      <c r="A240" t="s">
        <v>288</v>
      </c>
      <c r="B240" t="s">
        <v>74</v>
      </c>
      <c r="C240" t="s">
        <v>29</v>
      </c>
      <c r="D240" t="s">
        <v>19</v>
      </c>
      <c r="E240">
        <v>524</v>
      </c>
      <c r="F240">
        <v>733.6</v>
      </c>
      <c r="G240">
        <v>160</v>
      </c>
      <c r="H240">
        <v>40</v>
      </c>
      <c r="I240" t="s">
        <v>43</v>
      </c>
      <c r="J240" s="1">
        <v>45865</v>
      </c>
      <c r="K240" s="1">
        <v>45906</v>
      </c>
      <c r="L240" t="s">
        <v>23</v>
      </c>
      <c r="M240">
        <f>tblInventory[[#This Row],[Unit Cost]]*tblInventory[[#This Row],[Quantity in Stock]]</f>
        <v>83840</v>
      </c>
    </row>
    <row r="241" spans="1:13" x14ac:dyDescent="0.2">
      <c r="A241" t="s">
        <v>289</v>
      </c>
      <c r="B241" t="s">
        <v>33</v>
      </c>
      <c r="C241" t="s">
        <v>34</v>
      </c>
      <c r="D241" t="s">
        <v>40</v>
      </c>
      <c r="E241">
        <v>228</v>
      </c>
      <c r="F241">
        <v>296.39999999999998</v>
      </c>
      <c r="G241">
        <v>230</v>
      </c>
      <c r="H241">
        <v>15</v>
      </c>
      <c r="I241" t="s">
        <v>31</v>
      </c>
      <c r="J241" s="1">
        <v>46047</v>
      </c>
      <c r="K241" s="1">
        <v>46113</v>
      </c>
      <c r="L241" t="s">
        <v>23</v>
      </c>
      <c r="M241">
        <f>tblInventory[[#This Row],[Unit Cost]]*tblInventory[[#This Row],[Quantity in Stock]]</f>
        <v>52440</v>
      </c>
    </row>
    <row r="242" spans="1:13" x14ac:dyDescent="0.2">
      <c r="A242" t="s">
        <v>290</v>
      </c>
      <c r="B242" t="s">
        <v>57</v>
      </c>
      <c r="C242" t="s">
        <v>29</v>
      </c>
      <c r="D242" t="s">
        <v>19</v>
      </c>
      <c r="E242">
        <v>396</v>
      </c>
      <c r="F242">
        <v>475.2</v>
      </c>
      <c r="G242">
        <v>74</v>
      </c>
      <c r="H242">
        <v>10</v>
      </c>
      <c r="I242" t="s">
        <v>16</v>
      </c>
      <c r="J242" s="1">
        <v>46132</v>
      </c>
      <c r="K242" s="1">
        <v>46166</v>
      </c>
      <c r="L242" t="s">
        <v>23</v>
      </c>
      <c r="M242">
        <f>tblInventory[[#This Row],[Unit Cost]]*tblInventory[[#This Row],[Quantity in Stock]]</f>
        <v>29304</v>
      </c>
    </row>
    <row r="243" spans="1:13" x14ac:dyDescent="0.2">
      <c r="A243" t="s">
        <v>291</v>
      </c>
      <c r="B243" t="s">
        <v>87</v>
      </c>
      <c r="C243" t="s">
        <v>29</v>
      </c>
      <c r="D243" t="s">
        <v>30</v>
      </c>
      <c r="E243">
        <v>104</v>
      </c>
      <c r="F243">
        <v>124.8</v>
      </c>
      <c r="G243">
        <v>145</v>
      </c>
      <c r="H243">
        <v>40</v>
      </c>
      <c r="I243" t="s">
        <v>16</v>
      </c>
      <c r="J243" s="1">
        <v>46138</v>
      </c>
      <c r="K243" s="1">
        <v>46179</v>
      </c>
      <c r="L243" t="s">
        <v>23</v>
      </c>
      <c r="M243">
        <f>tblInventory[[#This Row],[Unit Cost]]*tblInventory[[#This Row],[Quantity in Stock]]</f>
        <v>15080</v>
      </c>
    </row>
    <row r="244" spans="1:13" x14ac:dyDescent="0.2">
      <c r="A244" t="s">
        <v>292</v>
      </c>
      <c r="B244" t="s">
        <v>65</v>
      </c>
      <c r="C244" t="s">
        <v>22</v>
      </c>
      <c r="D244" t="s">
        <v>40</v>
      </c>
      <c r="E244">
        <v>56</v>
      </c>
      <c r="F244">
        <v>78.400000000000006</v>
      </c>
      <c r="G244">
        <v>159</v>
      </c>
      <c r="H244">
        <v>30</v>
      </c>
      <c r="I244" t="s">
        <v>43</v>
      </c>
      <c r="J244" s="1">
        <v>45696</v>
      </c>
      <c r="K244" s="1">
        <v>45699</v>
      </c>
      <c r="L244" t="s">
        <v>23</v>
      </c>
      <c r="M244">
        <f>tblInventory[[#This Row],[Unit Cost]]*tblInventory[[#This Row],[Quantity in Stock]]</f>
        <v>8904</v>
      </c>
    </row>
    <row r="245" spans="1:13" x14ac:dyDescent="0.2">
      <c r="A245" t="s">
        <v>293</v>
      </c>
      <c r="B245" t="s">
        <v>104</v>
      </c>
      <c r="C245" t="s">
        <v>29</v>
      </c>
      <c r="D245" t="s">
        <v>15</v>
      </c>
      <c r="E245">
        <v>414</v>
      </c>
      <c r="F245">
        <v>538.20000000000005</v>
      </c>
      <c r="G245">
        <v>237</v>
      </c>
      <c r="H245">
        <v>40</v>
      </c>
      <c r="I245" t="s">
        <v>16</v>
      </c>
      <c r="J245" s="1">
        <v>46068</v>
      </c>
      <c r="K245" s="1">
        <v>46086</v>
      </c>
      <c r="L245" t="s">
        <v>23</v>
      </c>
      <c r="M245">
        <f>tblInventory[[#This Row],[Unit Cost]]*tblInventory[[#This Row],[Quantity in Stock]]</f>
        <v>98118</v>
      </c>
    </row>
    <row r="246" spans="1:13" x14ac:dyDescent="0.2">
      <c r="A246" t="s">
        <v>294</v>
      </c>
      <c r="B246" t="s">
        <v>116</v>
      </c>
      <c r="C246" t="s">
        <v>22</v>
      </c>
      <c r="D246" t="s">
        <v>40</v>
      </c>
      <c r="E246">
        <v>20</v>
      </c>
      <c r="F246">
        <v>28</v>
      </c>
      <c r="G246">
        <v>72</v>
      </c>
      <c r="H246">
        <v>25</v>
      </c>
      <c r="I246" t="s">
        <v>16</v>
      </c>
      <c r="J246" s="1">
        <v>45828</v>
      </c>
      <c r="K246" s="1">
        <v>45855</v>
      </c>
      <c r="L246" t="s">
        <v>23</v>
      </c>
      <c r="M246">
        <f>tblInventory[[#This Row],[Unit Cost]]*tblInventory[[#This Row],[Quantity in Stock]]</f>
        <v>1440</v>
      </c>
    </row>
    <row r="247" spans="1:13" x14ac:dyDescent="0.2">
      <c r="A247" t="s">
        <v>295</v>
      </c>
      <c r="B247" t="s">
        <v>68</v>
      </c>
      <c r="C247" t="s">
        <v>34</v>
      </c>
      <c r="D247" t="s">
        <v>19</v>
      </c>
      <c r="E247">
        <v>661</v>
      </c>
      <c r="F247">
        <v>991.5</v>
      </c>
      <c r="G247">
        <v>137</v>
      </c>
      <c r="H247">
        <v>20</v>
      </c>
      <c r="I247" t="s">
        <v>43</v>
      </c>
      <c r="J247" s="1">
        <v>45990</v>
      </c>
      <c r="K247" s="1">
        <v>46006</v>
      </c>
      <c r="L247" t="s">
        <v>23</v>
      </c>
      <c r="M247">
        <f>tblInventory[[#This Row],[Unit Cost]]*tblInventory[[#This Row],[Quantity in Stock]]</f>
        <v>90557</v>
      </c>
    </row>
    <row r="248" spans="1:13" x14ac:dyDescent="0.2">
      <c r="A248" t="s">
        <v>296</v>
      </c>
      <c r="B248" t="s">
        <v>65</v>
      </c>
      <c r="C248" t="s">
        <v>22</v>
      </c>
      <c r="D248" t="s">
        <v>15</v>
      </c>
      <c r="E248">
        <v>629</v>
      </c>
      <c r="F248">
        <v>943.5</v>
      </c>
      <c r="G248">
        <v>274</v>
      </c>
      <c r="H248">
        <v>20</v>
      </c>
      <c r="I248" t="s">
        <v>43</v>
      </c>
      <c r="J248" s="1">
        <v>45774</v>
      </c>
      <c r="K248" s="1">
        <v>45810</v>
      </c>
      <c r="L248" t="s">
        <v>23</v>
      </c>
      <c r="M248">
        <f>tblInventory[[#This Row],[Unit Cost]]*tblInventory[[#This Row],[Quantity in Stock]]</f>
        <v>172346</v>
      </c>
    </row>
    <row r="249" spans="1:13" x14ac:dyDescent="0.2">
      <c r="A249" t="s">
        <v>297</v>
      </c>
      <c r="B249" t="s">
        <v>37</v>
      </c>
      <c r="C249" t="s">
        <v>22</v>
      </c>
      <c r="D249" t="s">
        <v>40</v>
      </c>
      <c r="E249">
        <v>676</v>
      </c>
      <c r="F249">
        <v>811.2</v>
      </c>
      <c r="G249">
        <v>97</v>
      </c>
      <c r="H249">
        <v>40</v>
      </c>
      <c r="I249" t="s">
        <v>31</v>
      </c>
      <c r="J249" s="1">
        <v>45797</v>
      </c>
      <c r="K249" s="1">
        <v>45827</v>
      </c>
      <c r="L249" t="s">
        <v>23</v>
      </c>
      <c r="M249">
        <f>tblInventory[[#This Row],[Unit Cost]]*tblInventory[[#This Row],[Quantity in Stock]]</f>
        <v>65572</v>
      </c>
    </row>
    <row r="250" spans="1:13" x14ac:dyDescent="0.2">
      <c r="A250" t="s">
        <v>298</v>
      </c>
      <c r="B250" t="s">
        <v>116</v>
      </c>
      <c r="C250" t="s">
        <v>22</v>
      </c>
      <c r="D250" t="s">
        <v>19</v>
      </c>
      <c r="E250">
        <v>368</v>
      </c>
      <c r="F250">
        <v>552</v>
      </c>
      <c r="G250">
        <v>48</v>
      </c>
      <c r="H250">
        <v>30</v>
      </c>
      <c r="I250" t="s">
        <v>43</v>
      </c>
      <c r="J250" s="1">
        <v>45814</v>
      </c>
      <c r="K250" s="1">
        <v>45893</v>
      </c>
      <c r="L250" t="s">
        <v>23</v>
      </c>
      <c r="M250">
        <f>tblInventory[[#This Row],[Unit Cost]]*tblInventory[[#This Row],[Quantity in Stock]]</f>
        <v>17664</v>
      </c>
    </row>
    <row r="251" spans="1:13" x14ac:dyDescent="0.2">
      <c r="A251" t="s">
        <v>299</v>
      </c>
      <c r="B251" t="s">
        <v>104</v>
      </c>
      <c r="C251" t="s">
        <v>29</v>
      </c>
      <c r="D251" t="s">
        <v>30</v>
      </c>
      <c r="E251">
        <v>686</v>
      </c>
      <c r="F251">
        <v>823.2</v>
      </c>
      <c r="G251">
        <v>111</v>
      </c>
      <c r="H251">
        <v>25</v>
      </c>
      <c r="I251" t="s">
        <v>16</v>
      </c>
      <c r="J251" s="1">
        <v>46070</v>
      </c>
      <c r="K251" s="1">
        <v>46099</v>
      </c>
      <c r="L251" t="s">
        <v>23</v>
      </c>
      <c r="M251">
        <f>tblInventory[[#This Row],[Unit Cost]]*tblInventory[[#This Row],[Quantity in Stock]]</f>
        <v>76146</v>
      </c>
    </row>
    <row r="252" spans="1:13" x14ac:dyDescent="0.2">
      <c r="A252" t="s">
        <v>300</v>
      </c>
      <c r="B252" t="s">
        <v>57</v>
      </c>
      <c r="C252" t="s">
        <v>29</v>
      </c>
      <c r="D252" t="s">
        <v>26</v>
      </c>
      <c r="E252">
        <v>618</v>
      </c>
      <c r="F252">
        <v>803.4</v>
      </c>
      <c r="G252">
        <v>150</v>
      </c>
      <c r="H252">
        <v>15</v>
      </c>
      <c r="I252" t="s">
        <v>16</v>
      </c>
      <c r="J252" s="1">
        <v>45728</v>
      </c>
      <c r="K252" s="1">
        <v>45801</v>
      </c>
      <c r="L252" t="s">
        <v>23</v>
      </c>
      <c r="M252">
        <f>tblInventory[[#This Row],[Unit Cost]]*tblInventory[[#This Row],[Quantity in Stock]]</f>
        <v>92700</v>
      </c>
    </row>
    <row r="253" spans="1:13" x14ac:dyDescent="0.2">
      <c r="A253" t="s">
        <v>301</v>
      </c>
      <c r="B253" t="s">
        <v>25</v>
      </c>
      <c r="C253" t="s">
        <v>14</v>
      </c>
      <c r="D253" t="s">
        <v>40</v>
      </c>
      <c r="E253">
        <v>479</v>
      </c>
      <c r="F253">
        <v>622.70000000000005</v>
      </c>
      <c r="G253">
        <v>173</v>
      </c>
      <c r="H253">
        <v>25</v>
      </c>
      <c r="I253" t="s">
        <v>31</v>
      </c>
      <c r="J253" s="1">
        <v>46061</v>
      </c>
      <c r="K253" s="1">
        <v>46143</v>
      </c>
      <c r="L253" t="s">
        <v>23</v>
      </c>
      <c r="M253">
        <f>tblInventory[[#This Row],[Unit Cost]]*tblInventory[[#This Row],[Quantity in Stock]]</f>
        <v>82867</v>
      </c>
    </row>
    <row r="254" spans="1:13" x14ac:dyDescent="0.2">
      <c r="A254" t="s">
        <v>302</v>
      </c>
      <c r="B254" t="s">
        <v>50</v>
      </c>
      <c r="C254" t="s">
        <v>34</v>
      </c>
      <c r="D254" t="s">
        <v>15</v>
      </c>
      <c r="E254">
        <v>438</v>
      </c>
      <c r="F254">
        <v>569.4</v>
      </c>
      <c r="G254">
        <v>32</v>
      </c>
      <c r="H254">
        <v>50</v>
      </c>
      <c r="I254" t="s">
        <v>16</v>
      </c>
      <c r="J254" s="1">
        <v>45892</v>
      </c>
      <c r="K254" s="1">
        <v>45914</v>
      </c>
      <c r="L254" t="s">
        <v>17</v>
      </c>
      <c r="M254">
        <f>tblInventory[[#This Row],[Unit Cost]]*tblInventory[[#This Row],[Quantity in Stock]]</f>
        <v>14016</v>
      </c>
    </row>
    <row r="255" spans="1:13" x14ac:dyDescent="0.2">
      <c r="A255" t="s">
        <v>303</v>
      </c>
      <c r="B255" t="s">
        <v>28</v>
      </c>
      <c r="C255" t="s">
        <v>29</v>
      </c>
      <c r="D255" t="s">
        <v>26</v>
      </c>
      <c r="E255">
        <v>107</v>
      </c>
      <c r="F255">
        <v>149.80000000000001</v>
      </c>
      <c r="G255">
        <v>215</v>
      </c>
      <c r="H255">
        <v>25</v>
      </c>
      <c r="I255" t="s">
        <v>43</v>
      </c>
      <c r="J255" s="1">
        <v>45959</v>
      </c>
      <c r="K255" s="1">
        <v>45995</v>
      </c>
      <c r="L255" t="s">
        <v>23</v>
      </c>
      <c r="M255">
        <f>tblInventory[[#This Row],[Unit Cost]]*tblInventory[[#This Row],[Quantity in Stock]]</f>
        <v>23005</v>
      </c>
    </row>
    <row r="256" spans="1:13" x14ac:dyDescent="0.2">
      <c r="A256" t="s">
        <v>304</v>
      </c>
      <c r="B256" t="s">
        <v>68</v>
      </c>
      <c r="C256" t="s">
        <v>34</v>
      </c>
      <c r="D256" t="s">
        <v>19</v>
      </c>
      <c r="E256">
        <v>137</v>
      </c>
      <c r="F256">
        <v>178.1</v>
      </c>
      <c r="G256">
        <v>120</v>
      </c>
      <c r="H256">
        <v>50</v>
      </c>
      <c r="I256" t="s">
        <v>43</v>
      </c>
      <c r="J256" s="1">
        <v>46128</v>
      </c>
      <c r="K256" s="1">
        <v>46155</v>
      </c>
      <c r="L256" t="s">
        <v>23</v>
      </c>
      <c r="M256">
        <f>tblInventory[[#This Row],[Unit Cost]]*tblInventory[[#This Row],[Quantity in Stock]]</f>
        <v>16440</v>
      </c>
    </row>
    <row r="257" spans="1:13" x14ac:dyDescent="0.2">
      <c r="A257" t="s">
        <v>305</v>
      </c>
      <c r="B257" t="s">
        <v>13</v>
      </c>
      <c r="C257" t="s">
        <v>14</v>
      </c>
      <c r="D257" t="s">
        <v>35</v>
      </c>
      <c r="E257">
        <v>682</v>
      </c>
      <c r="F257">
        <v>818.4</v>
      </c>
      <c r="G257">
        <v>149</v>
      </c>
      <c r="H257">
        <v>20</v>
      </c>
      <c r="I257" t="s">
        <v>43</v>
      </c>
      <c r="J257" s="1">
        <v>46092</v>
      </c>
      <c r="K257" s="1">
        <v>46126</v>
      </c>
      <c r="L257" t="s">
        <v>23</v>
      </c>
      <c r="M257">
        <f>tblInventory[[#This Row],[Unit Cost]]*tblInventory[[#This Row],[Quantity in Stock]]</f>
        <v>101618</v>
      </c>
    </row>
    <row r="258" spans="1:13" x14ac:dyDescent="0.2">
      <c r="A258" t="s">
        <v>306</v>
      </c>
      <c r="B258" t="s">
        <v>70</v>
      </c>
      <c r="C258" t="s">
        <v>14</v>
      </c>
      <c r="D258" t="s">
        <v>19</v>
      </c>
      <c r="E258">
        <v>450</v>
      </c>
      <c r="F258">
        <v>630</v>
      </c>
      <c r="G258">
        <v>221</v>
      </c>
      <c r="H258">
        <v>15</v>
      </c>
      <c r="I258" t="s">
        <v>16</v>
      </c>
      <c r="J258" s="1">
        <v>45940</v>
      </c>
      <c r="K258" s="1">
        <v>45971</v>
      </c>
      <c r="L258" t="s">
        <v>23</v>
      </c>
      <c r="M258">
        <f>tblInventory[[#This Row],[Unit Cost]]*tblInventory[[#This Row],[Quantity in Stock]]</f>
        <v>99450</v>
      </c>
    </row>
    <row r="259" spans="1:13" x14ac:dyDescent="0.2">
      <c r="A259" t="s">
        <v>307</v>
      </c>
      <c r="B259" t="s">
        <v>104</v>
      </c>
      <c r="C259" t="s">
        <v>29</v>
      </c>
      <c r="D259" t="s">
        <v>26</v>
      </c>
      <c r="E259">
        <v>338</v>
      </c>
      <c r="F259">
        <v>507</v>
      </c>
      <c r="G259">
        <v>97</v>
      </c>
      <c r="H259">
        <v>10</v>
      </c>
      <c r="I259" t="s">
        <v>43</v>
      </c>
      <c r="J259" s="1">
        <v>45754</v>
      </c>
      <c r="K259" s="1">
        <v>45824</v>
      </c>
      <c r="L259" t="s">
        <v>23</v>
      </c>
      <c r="M259">
        <f>tblInventory[[#This Row],[Unit Cost]]*tblInventory[[#This Row],[Quantity in Stock]]</f>
        <v>32786</v>
      </c>
    </row>
    <row r="260" spans="1:13" x14ac:dyDescent="0.2">
      <c r="A260" t="s">
        <v>308</v>
      </c>
      <c r="B260" t="s">
        <v>33</v>
      </c>
      <c r="C260" t="s">
        <v>34</v>
      </c>
      <c r="D260" t="s">
        <v>15</v>
      </c>
      <c r="E260">
        <v>462</v>
      </c>
      <c r="F260">
        <v>554.4</v>
      </c>
      <c r="G260">
        <v>46</v>
      </c>
      <c r="H260">
        <v>50</v>
      </c>
      <c r="I260" t="s">
        <v>43</v>
      </c>
      <c r="J260" s="1">
        <v>45826</v>
      </c>
      <c r="K260" s="1">
        <v>45830</v>
      </c>
      <c r="L260" t="s">
        <v>17</v>
      </c>
      <c r="M260">
        <f>tblInventory[[#This Row],[Unit Cost]]*tblInventory[[#This Row],[Quantity in Stock]]</f>
        <v>21252</v>
      </c>
    </row>
    <row r="261" spans="1:13" x14ac:dyDescent="0.2">
      <c r="A261" t="s">
        <v>309</v>
      </c>
      <c r="B261" t="s">
        <v>87</v>
      </c>
      <c r="C261" t="s">
        <v>29</v>
      </c>
      <c r="D261" t="s">
        <v>19</v>
      </c>
      <c r="E261">
        <v>375</v>
      </c>
      <c r="F261">
        <v>487.5</v>
      </c>
      <c r="G261">
        <v>205</v>
      </c>
      <c r="H261">
        <v>15</v>
      </c>
      <c r="I261" t="s">
        <v>16</v>
      </c>
      <c r="J261" s="1">
        <v>45780</v>
      </c>
      <c r="K261" s="1">
        <v>45787</v>
      </c>
      <c r="L261" t="s">
        <v>23</v>
      </c>
      <c r="M261">
        <f>tblInventory[[#This Row],[Unit Cost]]*tblInventory[[#This Row],[Quantity in Stock]]</f>
        <v>76875</v>
      </c>
    </row>
    <row r="262" spans="1:13" x14ac:dyDescent="0.2">
      <c r="A262" t="s">
        <v>310</v>
      </c>
      <c r="B262" t="s">
        <v>70</v>
      </c>
      <c r="C262" t="s">
        <v>14</v>
      </c>
      <c r="D262" t="s">
        <v>30</v>
      </c>
      <c r="E262">
        <v>651</v>
      </c>
      <c r="F262">
        <v>846.3</v>
      </c>
      <c r="G262">
        <v>89</v>
      </c>
      <c r="H262">
        <v>10</v>
      </c>
      <c r="I262" t="s">
        <v>43</v>
      </c>
      <c r="J262" s="1">
        <v>45870</v>
      </c>
      <c r="K262" s="1">
        <v>45933</v>
      </c>
      <c r="L262" t="s">
        <v>23</v>
      </c>
      <c r="M262">
        <f>tblInventory[[#This Row],[Unit Cost]]*tblInventory[[#This Row],[Quantity in Stock]]</f>
        <v>57939</v>
      </c>
    </row>
    <row r="263" spans="1:13" x14ac:dyDescent="0.2">
      <c r="A263" t="s">
        <v>311</v>
      </c>
      <c r="B263" t="s">
        <v>74</v>
      </c>
      <c r="C263" t="s">
        <v>29</v>
      </c>
      <c r="D263" t="s">
        <v>40</v>
      </c>
      <c r="E263">
        <v>30</v>
      </c>
      <c r="F263">
        <v>42</v>
      </c>
      <c r="G263">
        <v>189</v>
      </c>
      <c r="H263">
        <v>30</v>
      </c>
      <c r="I263" t="s">
        <v>16</v>
      </c>
      <c r="J263" s="1">
        <v>45757</v>
      </c>
      <c r="K263" s="1">
        <v>45804</v>
      </c>
      <c r="L263" t="s">
        <v>23</v>
      </c>
      <c r="M263">
        <f>tblInventory[[#This Row],[Unit Cost]]*tblInventory[[#This Row],[Quantity in Stock]]</f>
        <v>5670</v>
      </c>
    </row>
    <row r="264" spans="1:13" x14ac:dyDescent="0.2">
      <c r="A264" t="s">
        <v>312</v>
      </c>
      <c r="B264" t="s">
        <v>21</v>
      </c>
      <c r="C264" t="s">
        <v>22</v>
      </c>
      <c r="D264" t="s">
        <v>26</v>
      </c>
      <c r="E264">
        <v>505</v>
      </c>
      <c r="F264">
        <v>656.5</v>
      </c>
      <c r="G264">
        <v>150</v>
      </c>
      <c r="H264">
        <v>20</v>
      </c>
      <c r="I264" t="s">
        <v>16</v>
      </c>
      <c r="J264" s="1">
        <v>45658</v>
      </c>
      <c r="K264" s="1">
        <v>45691</v>
      </c>
      <c r="L264" t="s">
        <v>23</v>
      </c>
      <c r="M264">
        <f>tblInventory[[#This Row],[Unit Cost]]*tblInventory[[#This Row],[Quantity in Stock]]</f>
        <v>75750</v>
      </c>
    </row>
    <row r="265" spans="1:13" x14ac:dyDescent="0.2">
      <c r="A265" t="s">
        <v>313</v>
      </c>
      <c r="B265" t="s">
        <v>42</v>
      </c>
      <c r="C265" t="s">
        <v>34</v>
      </c>
      <c r="D265" t="s">
        <v>40</v>
      </c>
      <c r="E265">
        <v>616</v>
      </c>
      <c r="F265">
        <v>924</v>
      </c>
      <c r="G265">
        <v>151</v>
      </c>
      <c r="H265">
        <v>15</v>
      </c>
      <c r="I265" t="s">
        <v>43</v>
      </c>
      <c r="J265" s="1">
        <v>46076</v>
      </c>
      <c r="K265" s="1">
        <v>46156</v>
      </c>
      <c r="L265" t="s">
        <v>23</v>
      </c>
      <c r="M265">
        <f>tblInventory[[#This Row],[Unit Cost]]*tblInventory[[#This Row],[Quantity in Stock]]</f>
        <v>93016</v>
      </c>
    </row>
    <row r="266" spans="1:13" x14ac:dyDescent="0.2">
      <c r="A266" t="s">
        <v>314</v>
      </c>
      <c r="B266" t="s">
        <v>25</v>
      </c>
      <c r="C266" t="s">
        <v>14</v>
      </c>
      <c r="D266" t="s">
        <v>26</v>
      </c>
      <c r="E266">
        <v>169</v>
      </c>
      <c r="F266">
        <v>202.8</v>
      </c>
      <c r="G266">
        <v>125</v>
      </c>
      <c r="H266">
        <v>20</v>
      </c>
      <c r="I266" t="s">
        <v>31</v>
      </c>
      <c r="J266" s="1">
        <v>46065</v>
      </c>
      <c r="K266" s="1">
        <v>46153</v>
      </c>
      <c r="L266" t="s">
        <v>23</v>
      </c>
      <c r="M266">
        <f>tblInventory[[#This Row],[Unit Cost]]*tblInventory[[#This Row],[Quantity in Stock]]</f>
        <v>21125</v>
      </c>
    </row>
    <row r="267" spans="1:13" x14ac:dyDescent="0.2">
      <c r="A267" t="s">
        <v>315</v>
      </c>
      <c r="B267" t="s">
        <v>57</v>
      </c>
      <c r="C267" t="s">
        <v>29</v>
      </c>
      <c r="D267" t="s">
        <v>15</v>
      </c>
      <c r="E267">
        <v>324</v>
      </c>
      <c r="F267">
        <v>453.6</v>
      </c>
      <c r="G267">
        <v>19</v>
      </c>
      <c r="H267">
        <v>15</v>
      </c>
      <c r="I267" t="s">
        <v>43</v>
      </c>
      <c r="J267" s="1">
        <v>45663</v>
      </c>
      <c r="K267" s="1">
        <v>45666</v>
      </c>
      <c r="L267" t="s">
        <v>23</v>
      </c>
      <c r="M267">
        <f>tblInventory[[#This Row],[Unit Cost]]*tblInventory[[#This Row],[Quantity in Stock]]</f>
        <v>6156</v>
      </c>
    </row>
    <row r="268" spans="1:13" x14ac:dyDescent="0.2">
      <c r="A268" t="s">
        <v>316</v>
      </c>
      <c r="B268" t="s">
        <v>25</v>
      </c>
      <c r="C268" t="s">
        <v>14</v>
      </c>
      <c r="D268" t="s">
        <v>26</v>
      </c>
      <c r="E268">
        <v>136</v>
      </c>
      <c r="F268">
        <v>204</v>
      </c>
      <c r="G268">
        <v>3</v>
      </c>
      <c r="H268">
        <v>15</v>
      </c>
      <c r="I268" t="s">
        <v>43</v>
      </c>
      <c r="J268" s="1">
        <v>45934</v>
      </c>
      <c r="K268" s="1">
        <v>45998</v>
      </c>
      <c r="L268" t="s">
        <v>17</v>
      </c>
      <c r="M268">
        <f>tblInventory[[#This Row],[Unit Cost]]*tblInventory[[#This Row],[Quantity in Stock]]</f>
        <v>408</v>
      </c>
    </row>
    <row r="269" spans="1:13" x14ac:dyDescent="0.2">
      <c r="A269" t="s">
        <v>317</v>
      </c>
      <c r="B269" t="s">
        <v>48</v>
      </c>
      <c r="C269" t="s">
        <v>14</v>
      </c>
      <c r="D269" t="s">
        <v>15</v>
      </c>
      <c r="E269">
        <v>405</v>
      </c>
      <c r="F269">
        <v>607.5</v>
      </c>
      <c r="G269">
        <v>69</v>
      </c>
      <c r="H269">
        <v>10</v>
      </c>
      <c r="I269" t="s">
        <v>31</v>
      </c>
      <c r="J269" s="1">
        <v>45941</v>
      </c>
      <c r="K269" s="1">
        <v>46001</v>
      </c>
      <c r="L269" t="s">
        <v>23</v>
      </c>
      <c r="M269">
        <f>tblInventory[[#This Row],[Unit Cost]]*tblInventory[[#This Row],[Quantity in Stock]]</f>
        <v>27945</v>
      </c>
    </row>
    <row r="270" spans="1:13" x14ac:dyDescent="0.2">
      <c r="A270" t="s">
        <v>318</v>
      </c>
      <c r="B270" t="s">
        <v>48</v>
      </c>
      <c r="C270" t="s">
        <v>14</v>
      </c>
      <c r="D270" t="s">
        <v>15</v>
      </c>
      <c r="E270">
        <v>666</v>
      </c>
      <c r="F270">
        <v>932.4</v>
      </c>
      <c r="G270">
        <v>164</v>
      </c>
      <c r="H270">
        <v>25</v>
      </c>
      <c r="I270" t="s">
        <v>16</v>
      </c>
      <c r="J270" s="1">
        <v>45947</v>
      </c>
      <c r="K270" s="1">
        <v>45957</v>
      </c>
      <c r="L270" t="s">
        <v>23</v>
      </c>
      <c r="M270">
        <f>tblInventory[[#This Row],[Unit Cost]]*tblInventory[[#This Row],[Quantity in Stock]]</f>
        <v>109224</v>
      </c>
    </row>
    <row r="271" spans="1:13" x14ac:dyDescent="0.2">
      <c r="A271" t="s">
        <v>319</v>
      </c>
      <c r="B271" t="s">
        <v>28</v>
      </c>
      <c r="C271" t="s">
        <v>29</v>
      </c>
      <c r="D271" t="s">
        <v>40</v>
      </c>
      <c r="E271">
        <v>580</v>
      </c>
      <c r="F271">
        <v>812</v>
      </c>
      <c r="G271">
        <v>126</v>
      </c>
      <c r="H271">
        <v>10</v>
      </c>
      <c r="I271" t="s">
        <v>31</v>
      </c>
      <c r="J271" s="1">
        <v>46127</v>
      </c>
      <c r="K271" s="1">
        <v>46158</v>
      </c>
      <c r="L271" t="s">
        <v>23</v>
      </c>
      <c r="M271">
        <f>tblInventory[[#This Row],[Unit Cost]]*tblInventory[[#This Row],[Quantity in Stock]]</f>
        <v>73080</v>
      </c>
    </row>
    <row r="272" spans="1:13" x14ac:dyDescent="0.2">
      <c r="A272" t="s">
        <v>320</v>
      </c>
      <c r="B272" t="s">
        <v>116</v>
      </c>
      <c r="C272" t="s">
        <v>22</v>
      </c>
      <c r="D272" t="s">
        <v>30</v>
      </c>
      <c r="E272">
        <v>542</v>
      </c>
      <c r="F272">
        <v>758.8</v>
      </c>
      <c r="G272">
        <v>18</v>
      </c>
      <c r="H272">
        <v>25</v>
      </c>
      <c r="I272" t="s">
        <v>16</v>
      </c>
      <c r="J272" s="1">
        <v>45855</v>
      </c>
      <c r="K272" s="1">
        <v>45928</v>
      </c>
      <c r="L272" t="s">
        <v>17</v>
      </c>
      <c r="M272">
        <f>tblInventory[[#This Row],[Unit Cost]]*tblInventory[[#This Row],[Quantity in Stock]]</f>
        <v>9756</v>
      </c>
    </row>
    <row r="273" spans="1:13" x14ac:dyDescent="0.2">
      <c r="A273" t="s">
        <v>321</v>
      </c>
      <c r="B273" t="s">
        <v>87</v>
      </c>
      <c r="C273" t="s">
        <v>29</v>
      </c>
      <c r="D273" t="s">
        <v>30</v>
      </c>
      <c r="E273">
        <v>371</v>
      </c>
      <c r="F273">
        <v>445.2</v>
      </c>
      <c r="G273">
        <v>252</v>
      </c>
      <c r="H273">
        <v>30</v>
      </c>
      <c r="I273" t="s">
        <v>16</v>
      </c>
      <c r="J273" s="1">
        <v>46088</v>
      </c>
      <c r="K273" s="1">
        <v>46121</v>
      </c>
      <c r="L273" t="s">
        <v>23</v>
      </c>
      <c r="M273">
        <f>tblInventory[[#This Row],[Unit Cost]]*tblInventory[[#This Row],[Quantity in Stock]]</f>
        <v>93492</v>
      </c>
    </row>
    <row r="274" spans="1:13" x14ac:dyDescent="0.2">
      <c r="A274" t="s">
        <v>322</v>
      </c>
      <c r="B274" t="s">
        <v>74</v>
      </c>
      <c r="C274" t="s">
        <v>29</v>
      </c>
      <c r="D274" t="s">
        <v>35</v>
      </c>
      <c r="E274">
        <v>656</v>
      </c>
      <c r="F274">
        <v>918.4</v>
      </c>
      <c r="G274">
        <v>0</v>
      </c>
      <c r="H274">
        <v>25</v>
      </c>
      <c r="I274" t="s">
        <v>31</v>
      </c>
      <c r="J274" s="1">
        <v>45808</v>
      </c>
      <c r="K274" s="1">
        <v>45848</v>
      </c>
      <c r="L274" t="s">
        <v>323</v>
      </c>
      <c r="M274">
        <f>tblInventory[[#This Row],[Unit Cost]]*tblInventory[[#This Row],[Quantity in Stock]]</f>
        <v>0</v>
      </c>
    </row>
    <row r="275" spans="1:13" x14ac:dyDescent="0.2">
      <c r="A275" t="s">
        <v>324</v>
      </c>
      <c r="B275" t="s">
        <v>50</v>
      </c>
      <c r="C275" t="s">
        <v>34</v>
      </c>
      <c r="D275" t="s">
        <v>30</v>
      </c>
      <c r="E275">
        <v>499</v>
      </c>
      <c r="F275">
        <v>748.5</v>
      </c>
      <c r="G275">
        <v>144</v>
      </c>
      <c r="H275">
        <v>15</v>
      </c>
      <c r="I275" t="s">
        <v>43</v>
      </c>
      <c r="J275" s="1">
        <v>45939</v>
      </c>
      <c r="K275" s="1">
        <v>45972</v>
      </c>
      <c r="L275" t="s">
        <v>23</v>
      </c>
      <c r="M275">
        <f>tblInventory[[#This Row],[Unit Cost]]*tblInventory[[#This Row],[Quantity in Stock]]</f>
        <v>71856</v>
      </c>
    </row>
    <row r="276" spans="1:13" x14ac:dyDescent="0.2">
      <c r="A276" t="s">
        <v>325</v>
      </c>
      <c r="B276" t="s">
        <v>48</v>
      </c>
      <c r="C276" t="s">
        <v>14</v>
      </c>
      <c r="D276" t="s">
        <v>35</v>
      </c>
      <c r="E276">
        <v>493</v>
      </c>
      <c r="F276">
        <v>690.2</v>
      </c>
      <c r="G276">
        <v>154</v>
      </c>
      <c r="H276">
        <v>25</v>
      </c>
      <c r="I276" t="s">
        <v>43</v>
      </c>
      <c r="J276" s="1">
        <v>45676</v>
      </c>
      <c r="K276" s="1">
        <v>45698</v>
      </c>
      <c r="L276" t="s">
        <v>23</v>
      </c>
      <c r="M276">
        <f>tblInventory[[#This Row],[Unit Cost]]*tblInventory[[#This Row],[Quantity in Stock]]</f>
        <v>75922</v>
      </c>
    </row>
    <row r="277" spans="1:13" x14ac:dyDescent="0.2">
      <c r="A277" t="s">
        <v>326</v>
      </c>
      <c r="B277" t="s">
        <v>28</v>
      </c>
      <c r="C277" t="s">
        <v>29</v>
      </c>
      <c r="D277" t="s">
        <v>30</v>
      </c>
      <c r="E277">
        <v>388</v>
      </c>
      <c r="F277">
        <v>582</v>
      </c>
      <c r="G277">
        <v>20</v>
      </c>
      <c r="H277">
        <v>15</v>
      </c>
      <c r="I277" t="s">
        <v>16</v>
      </c>
      <c r="J277" s="1">
        <v>46103</v>
      </c>
      <c r="K277" s="1">
        <v>46148</v>
      </c>
      <c r="L277" t="s">
        <v>23</v>
      </c>
      <c r="M277">
        <f>tblInventory[[#This Row],[Unit Cost]]*tblInventory[[#This Row],[Quantity in Stock]]</f>
        <v>7760</v>
      </c>
    </row>
    <row r="278" spans="1:13" x14ac:dyDescent="0.2">
      <c r="A278" t="s">
        <v>327</v>
      </c>
      <c r="B278" t="s">
        <v>52</v>
      </c>
      <c r="C278" t="s">
        <v>22</v>
      </c>
      <c r="D278" t="s">
        <v>35</v>
      </c>
      <c r="E278">
        <v>656</v>
      </c>
      <c r="F278">
        <v>852.8</v>
      </c>
      <c r="G278">
        <v>143</v>
      </c>
      <c r="H278">
        <v>40</v>
      </c>
      <c r="I278" t="s">
        <v>16</v>
      </c>
      <c r="J278" s="1">
        <v>45996</v>
      </c>
      <c r="K278" s="1">
        <v>46029</v>
      </c>
      <c r="L278" t="s">
        <v>23</v>
      </c>
      <c r="M278">
        <f>tblInventory[[#This Row],[Unit Cost]]*tblInventory[[#This Row],[Quantity in Stock]]</f>
        <v>93808</v>
      </c>
    </row>
    <row r="279" spans="1:13" x14ac:dyDescent="0.2">
      <c r="A279" t="s">
        <v>328</v>
      </c>
      <c r="B279" t="s">
        <v>42</v>
      </c>
      <c r="C279" t="s">
        <v>34</v>
      </c>
      <c r="D279" t="s">
        <v>30</v>
      </c>
      <c r="E279">
        <v>107</v>
      </c>
      <c r="F279">
        <v>128.4</v>
      </c>
      <c r="G279">
        <v>205</v>
      </c>
      <c r="H279">
        <v>15</v>
      </c>
      <c r="I279" t="s">
        <v>16</v>
      </c>
      <c r="J279" s="1">
        <v>45789</v>
      </c>
      <c r="K279" s="1">
        <v>45833</v>
      </c>
      <c r="L279" t="s">
        <v>23</v>
      </c>
      <c r="M279">
        <f>tblInventory[[#This Row],[Unit Cost]]*tblInventory[[#This Row],[Quantity in Stock]]</f>
        <v>21935</v>
      </c>
    </row>
    <row r="280" spans="1:13" x14ac:dyDescent="0.2">
      <c r="A280" t="s">
        <v>329</v>
      </c>
      <c r="B280" t="s">
        <v>21</v>
      </c>
      <c r="C280" t="s">
        <v>22</v>
      </c>
      <c r="D280" t="s">
        <v>30</v>
      </c>
      <c r="E280">
        <v>114</v>
      </c>
      <c r="F280">
        <v>136.80000000000001</v>
      </c>
      <c r="G280">
        <v>97</v>
      </c>
      <c r="H280">
        <v>40</v>
      </c>
      <c r="I280" t="s">
        <v>31</v>
      </c>
      <c r="J280" s="1">
        <v>45771</v>
      </c>
      <c r="K280" s="1">
        <v>45779</v>
      </c>
      <c r="L280" t="s">
        <v>23</v>
      </c>
      <c r="M280">
        <f>tblInventory[[#This Row],[Unit Cost]]*tblInventory[[#This Row],[Quantity in Stock]]</f>
        <v>11058</v>
      </c>
    </row>
    <row r="281" spans="1:13" x14ac:dyDescent="0.2">
      <c r="A281" t="s">
        <v>330</v>
      </c>
      <c r="B281" t="s">
        <v>28</v>
      </c>
      <c r="C281" t="s">
        <v>29</v>
      </c>
      <c r="D281" t="s">
        <v>30</v>
      </c>
      <c r="E281">
        <v>241</v>
      </c>
      <c r="F281">
        <v>313.3</v>
      </c>
      <c r="G281">
        <v>229</v>
      </c>
      <c r="H281">
        <v>30</v>
      </c>
      <c r="I281" t="s">
        <v>31</v>
      </c>
      <c r="J281" s="1">
        <v>46169</v>
      </c>
      <c r="K281" s="1">
        <v>46244</v>
      </c>
      <c r="L281" t="s">
        <v>23</v>
      </c>
      <c r="M281">
        <f>tblInventory[[#This Row],[Unit Cost]]*tblInventory[[#This Row],[Quantity in Stock]]</f>
        <v>55189</v>
      </c>
    </row>
    <row r="282" spans="1:13" x14ac:dyDescent="0.2">
      <c r="A282" t="s">
        <v>331</v>
      </c>
      <c r="B282" t="s">
        <v>57</v>
      </c>
      <c r="C282" t="s">
        <v>29</v>
      </c>
      <c r="D282" t="s">
        <v>26</v>
      </c>
      <c r="E282">
        <v>394</v>
      </c>
      <c r="F282">
        <v>551.6</v>
      </c>
      <c r="G282">
        <v>222</v>
      </c>
      <c r="H282">
        <v>15</v>
      </c>
      <c r="I282" t="s">
        <v>16</v>
      </c>
      <c r="J282" s="1">
        <v>46174</v>
      </c>
      <c r="K282" s="1">
        <v>46215</v>
      </c>
      <c r="L282" t="s">
        <v>23</v>
      </c>
      <c r="M282">
        <f>tblInventory[[#This Row],[Unit Cost]]*tblInventory[[#This Row],[Quantity in Stock]]</f>
        <v>87468</v>
      </c>
    </row>
    <row r="283" spans="1:13" x14ac:dyDescent="0.2">
      <c r="A283" t="s">
        <v>332</v>
      </c>
      <c r="B283" t="s">
        <v>48</v>
      </c>
      <c r="C283" t="s">
        <v>14</v>
      </c>
      <c r="D283" t="s">
        <v>40</v>
      </c>
      <c r="E283">
        <v>589</v>
      </c>
      <c r="F283">
        <v>765.7</v>
      </c>
      <c r="G283">
        <v>141</v>
      </c>
      <c r="H283">
        <v>15</v>
      </c>
      <c r="I283" t="s">
        <v>31</v>
      </c>
      <c r="J283" s="1">
        <v>45796</v>
      </c>
      <c r="K283" s="1">
        <v>45849</v>
      </c>
      <c r="L283" t="s">
        <v>23</v>
      </c>
      <c r="M283">
        <f>tblInventory[[#This Row],[Unit Cost]]*tblInventory[[#This Row],[Quantity in Stock]]</f>
        <v>83049</v>
      </c>
    </row>
    <row r="284" spans="1:13" x14ac:dyDescent="0.2">
      <c r="A284" t="s">
        <v>333</v>
      </c>
      <c r="B284" t="s">
        <v>33</v>
      </c>
      <c r="C284" t="s">
        <v>34</v>
      </c>
      <c r="D284" t="s">
        <v>35</v>
      </c>
      <c r="E284">
        <v>569</v>
      </c>
      <c r="F284">
        <v>739.7</v>
      </c>
      <c r="G284">
        <v>96</v>
      </c>
      <c r="H284">
        <v>30</v>
      </c>
      <c r="I284" t="s">
        <v>43</v>
      </c>
      <c r="J284" s="1">
        <v>45868</v>
      </c>
      <c r="K284" s="1">
        <v>45945</v>
      </c>
      <c r="L284" t="s">
        <v>23</v>
      </c>
      <c r="M284">
        <f>tblInventory[[#This Row],[Unit Cost]]*tblInventory[[#This Row],[Quantity in Stock]]</f>
        <v>54624</v>
      </c>
    </row>
    <row r="285" spans="1:13" x14ac:dyDescent="0.2">
      <c r="A285" t="s">
        <v>334</v>
      </c>
      <c r="B285" t="s">
        <v>46</v>
      </c>
      <c r="C285" t="s">
        <v>14</v>
      </c>
      <c r="D285" t="s">
        <v>26</v>
      </c>
      <c r="E285">
        <v>565</v>
      </c>
      <c r="F285">
        <v>847.5</v>
      </c>
      <c r="G285">
        <v>198</v>
      </c>
      <c r="H285">
        <v>40</v>
      </c>
      <c r="I285" t="s">
        <v>43</v>
      </c>
      <c r="J285" s="1">
        <v>45989</v>
      </c>
      <c r="K285" s="1">
        <v>46074</v>
      </c>
      <c r="L285" t="s">
        <v>23</v>
      </c>
      <c r="M285">
        <f>tblInventory[[#This Row],[Unit Cost]]*tblInventory[[#This Row],[Quantity in Stock]]</f>
        <v>111870</v>
      </c>
    </row>
    <row r="286" spans="1:13" x14ac:dyDescent="0.2">
      <c r="A286" t="s">
        <v>335</v>
      </c>
      <c r="B286" t="s">
        <v>153</v>
      </c>
      <c r="C286" t="s">
        <v>34</v>
      </c>
      <c r="D286" t="s">
        <v>15</v>
      </c>
      <c r="E286">
        <v>657</v>
      </c>
      <c r="F286">
        <v>854.1</v>
      </c>
      <c r="G286">
        <v>62</v>
      </c>
      <c r="H286">
        <v>25</v>
      </c>
      <c r="I286" t="s">
        <v>16</v>
      </c>
      <c r="J286" s="1">
        <v>45992</v>
      </c>
      <c r="K286" s="1">
        <v>46012</v>
      </c>
      <c r="L286" t="s">
        <v>23</v>
      </c>
      <c r="M286">
        <f>tblInventory[[#This Row],[Unit Cost]]*tblInventory[[#This Row],[Quantity in Stock]]</f>
        <v>40734</v>
      </c>
    </row>
    <row r="287" spans="1:13" x14ac:dyDescent="0.2">
      <c r="A287" t="s">
        <v>336</v>
      </c>
      <c r="B287" t="s">
        <v>33</v>
      </c>
      <c r="C287" t="s">
        <v>34</v>
      </c>
      <c r="D287" t="s">
        <v>26</v>
      </c>
      <c r="E287">
        <v>219</v>
      </c>
      <c r="F287">
        <v>262.8</v>
      </c>
      <c r="G287">
        <v>203</v>
      </c>
      <c r="H287">
        <v>25</v>
      </c>
      <c r="I287" t="s">
        <v>31</v>
      </c>
      <c r="J287" s="1">
        <v>45812</v>
      </c>
      <c r="K287" s="1">
        <v>45892</v>
      </c>
      <c r="L287" t="s">
        <v>23</v>
      </c>
      <c r="M287">
        <f>tblInventory[[#This Row],[Unit Cost]]*tblInventory[[#This Row],[Quantity in Stock]]</f>
        <v>44457</v>
      </c>
    </row>
    <row r="288" spans="1:13" x14ac:dyDescent="0.2">
      <c r="A288" t="s">
        <v>337</v>
      </c>
      <c r="B288" t="s">
        <v>52</v>
      </c>
      <c r="C288" t="s">
        <v>22</v>
      </c>
      <c r="D288" t="s">
        <v>26</v>
      </c>
      <c r="E288">
        <v>410</v>
      </c>
      <c r="F288">
        <v>574</v>
      </c>
      <c r="G288">
        <v>131</v>
      </c>
      <c r="H288">
        <v>25</v>
      </c>
      <c r="I288" t="s">
        <v>31</v>
      </c>
      <c r="J288" s="1">
        <v>45662</v>
      </c>
      <c r="K288" s="1">
        <v>45745</v>
      </c>
      <c r="L288" t="s">
        <v>23</v>
      </c>
      <c r="M288">
        <f>tblInventory[[#This Row],[Unit Cost]]*tblInventory[[#This Row],[Quantity in Stock]]</f>
        <v>53710</v>
      </c>
    </row>
    <row r="289" spans="1:13" x14ac:dyDescent="0.2">
      <c r="A289" t="s">
        <v>338</v>
      </c>
      <c r="B289" t="s">
        <v>13</v>
      </c>
      <c r="C289" t="s">
        <v>14</v>
      </c>
      <c r="D289" t="s">
        <v>35</v>
      </c>
      <c r="E289">
        <v>186</v>
      </c>
      <c r="F289">
        <v>260.39999999999998</v>
      </c>
      <c r="G289">
        <v>295</v>
      </c>
      <c r="H289">
        <v>15</v>
      </c>
      <c r="I289" t="s">
        <v>43</v>
      </c>
      <c r="J289" s="1">
        <v>46102</v>
      </c>
      <c r="K289" s="1">
        <v>46121</v>
      </c>
      <c r="L289" t="s">
        <v>23</v>
      </c>
      <c r="M289">
        <f>tblInventory[[#This Row],[Unit Cost]]*tblInventory[[#This Row],[Quantity in Stock]]</f>
        <v>54870</v>
      </c>
    </row>
    <row r="290" spans="1:13" x14ac:dyDescent="0.2">
      <c r="A290" t="s">
        <v>339</v>
      </c>
      <c r="B290" t="s">
        <v>60</v>
      </c>
      <c r="C290" t="s">
        <v>34</v>
      </c>
      <c r="D290" t="s">
        <v>30</v>
      </c>
      <c r="E290">
        <v>611</v>
      </c>
      <c r="F290">
        <v>916.5</v>
      </c>
      <c r="G290">
        <v>198</v>
      </c>
      <c r="H290">
        <v>20</v>
      </c>
      <c r="I290" t="s">
        <v>16</v>
      </c>
      <c r="J290" s="1">
        <v>45896</v>
      </c>
      <c r="K290" s="1">
        <v>45945</v>
      </c>
      <c r="L290" t="s">
        <v>23</v>
      </c>
      <c r="M290">
        <f>tblInventory[[#This Row],[Unit Cost]]*tblInventory[[#This Row],[Quantity in Stock]]</f>
        <v>120978</v>
      </c>
    </row>
    <row r="291" spans="1:13" x14ac:dyDescent="0.2">
      <c r="A291" t="s">
        <v>340</v>
      </c>
      <c r="B291" t="s">
        <v>153</v>
      </c>
      <c r="C291" t="s">
        <v>34</v>
      </c>
      <c r="D291" t="s">
        <v>40</v>
      </c>
      <c r="E291">
        <v>194</v>
      </c>
      <c r="F291">
        <v>232.8</v>
      </c>
      <c r="G291">
        <v>84</v>
      </c>
      <c r="H291">
        <v>40</v>
      </c>
      <c r="I291" t="s">
        <v>16</v>
      </c>
      <c r="J291" s="1">
        <v>45863</v>
      </c>
      <c r="K291" s="1">
        <v>45882</v>
      </c>
      <c r="L291" t="s">
        <v>23</v>
      </c>
      <c r="M291">
        <f>tblInventory[[#This Row],[Unit Cost]]*tblInventory[[#This Row],[Quantity in Stock]]</f>
        <v>16296</v>
      </c>
    </row>
    <row r="292" spans="1:13" x14ac:dyDescent="0.2">
      <c r="A292" t="s">
        <v>341</v>
      </c>
      <c r="B292" t="s">
        <v>74</v>
      </c>
      <c r="C292" t="s">
        <v>29</v>
      </c>
      <c r="D292" t="s">
        <v>35</v>
      </c>
      <c r="E292">
        <v>90</v>
      </c>
      <c r="F292">
        <v>117</v>
      </c>
      <c r="G292">
        <v>134</v>
      </c>
      <c r="H292">
        <v>25</v>
      </c>
      <c r="I292" t="s">
        <v>43</v>
      </c>
      <c r="J292" s="1">
        <v>45764</v>
      </c>
      <c r="K292" s="1">
        <v>45769</v>
      </c>
      <c r="L292" t="s">
        <v>23</v>
      </c>
      <c r="M292">
        <f>tblInventory[[#This Row],[Unit Cost]]*tblInventory[[#This Row],[Quantity in Stock]]</f>
        <v>12060</v>
      </c>
    </row>
    <row r="293" spans="1:13" x14ac:dyDescent="0.2">
      <c r="A293" t="s">
        <v>342</v>
      </c>
      <c r="B293" t="s">
        <v>70</v>
      </c>
      <c r="C293" t="s">
        <v>14</v>
      </c>
      <c r="D293" t="s">
        <v>40</v>
      </c>
      <c r="E293">
        <v>61</v>
      </c>
      <c r="F293">
        <v>73.2</v>
      </c>
      <c r="G293">
        <v>252</v>
      </c>
      <c r="H293">
        <v>25</v>
      </c>
      <c r="I293" t="s">
        <v>43</v>
      </c>
      <c r="J293" s="1">
        <v>45914</v>
      </c>
      <c r="K293" s="1">
        <v>45979</v>
      </c>
      <c r="L293" t="s">
        <v>23</v>
      </c>
      <c r="M293">
        <f>tblInventory[[#This Row],[Unit Cost]]*tblInventory[[#This Row],[Quantity in Stock]]</f>
        <v>15372</v>
      </c>
    </row>
    <row r="294" spans="1:13" x14ac:dyDescent="0.2">
      <c r="A294" t="s">
        <v>343</v>
      </c>
      <c r="B294" t="s">
        <v>65</v>
      </c>
      <c r="C294" t="s">
        <v>22</v>
      </c>
      <c r="D294" t="s">
        <v>19</v>
      </c>
      <c r="E294">
        <v>84</v>
      </c>
      <c r="F294">
        <v>100.8</v>
      </c>
      <c r="G294">
        <v>1</v>
      </c>
      <c r="H294">
        <v>30</v>
      </c>
      <c r="I294" t="s">
        <v>43</v>
      </c>
      <c r="J294" s="1">
        <v>46048</v>
      </c>
      <c r="K294" s="1">
        <v>46120</v>
      </c>
      <c r="L294" t="s">
        <v>17</v>
      </c>
      <c r="M294">
        <f>tblInventory[[#This Row],[Unit Cost]]*tblInventory[[#This Row],[Quantity in Stock]]</f>
        <v>84</v>
      </c>
    </row>
    <row r="295" spans="1:13" x14ac:dyDescent="0.2">
      <c r="A295" t="s">
        <v>344</v>
      </c>
      <c r="B295" t="s">
        <v>28</v>
      </c>
      <c r="C295" t="s">
        <v>29</v>
      </c>
      <c r="D295" t="s">
        <v>15</v>
      </c>
      <c r="E295">
        <v>284</v>
      </c>
      <c r="F295">
        <v>340.8</v>
      </c>
      <c r="G295">
        <v>216</v>
      </c>
      <c r="H295">
        <v>10</v>
      </c>
      <c r="I295" t="s">
        <v>16</v>
      </c>
      <c r="J295" s="1">
        <v>45867</v>
      </c>
      <c r="K295" s="1">
        <v>45883</v>
      </c>
      <c r="L295" t="s">
        <v>23</v>
      </c>
      <c r="M295">
        <f>tblInventory[[#This Row],[Unit Cost]]*tblInventory[[#This Row],[Quantity in Stock]]</f>
        <v>61344</v>
      </c>
    </row>
    <row r="296" spans="1:13" x14ac:dyDescent="0.2">
      <c r="A296" t="s">
        <v>345</v>
      </c>
      <c r="B296" t="s">
        <v>13</v>
      </c>
      <c r="C296" t="s">
        <v>14</v>
      </c>
      <c r="D296" t="s">
        <v>30</v>
      </c>
      <c r="E296">
        <v>531</v>
      </c>
      <c r="F296">
        <v>796.5</v>
      </c>
      <c r="G296">
        <v>105</v>
      </c>
      <c r="H296">
        <v>40</v>
      </c>
      <c r="I296" t="s">
        <v>31</v>
      </c>
      <c r="J296" s="1">
        <v>46030</v>
      </c>
      <c r="K296" s="1">
        <v>46041</v>
      </c>
      <c r="L296" t="s">
        <v>23</v>
      </c>
      <c r="M296">
        <f>tblInventory[[#This Row],[Unit Cost]]*tblInventory[[#This Row],[Quantity in Stock]]</f>
        <v>55755</v>
      </c>
    </row>
    <row r="297" spans="1:13" x14ac:dyDescent="0.2">
      <c r="A297" t="s">
        <v>346</v>
      </c>
      <c r="B297" t="s">
        <v>104</v>
      </c>
      <c r="C297" t="s">
        <v>29</v>
      </c>
      <c r="D297" t="s">
        <v>35</v>
      </c>
      <c r="E297">
        <v>128</v>
      </c>
      <c r="F297">
        <v>179.2</v>
      </c>
      <c r="G297">
        <v>272</v>
      </c>
      <c r="H297">
        <v>10</v>
      </c>
      <c r="I297" t="s">
        <v>31</v>
      </c>
      <c r="J297" s="1">
        <v>46179</v>
      </c>
      <c r="K297" s="1">
        <v>46242</v>
      </c>
      <c r="L297" t="s">
        <v>23</v>
      </c>
      <c r="M297">
        <f>tblInventory[[#This Row],[Unit Cost]]*tblInventory[[#This Row],[Quantity in Stock]]</f>
        <v>34816</v>
      </c>
    </row>
    <row r="298" spans="1:13" x14ac:dyDescent="0.2">
      <c r="A298" t="s">
        <v>347</v>
      </c>
      <c r="B298" t="s">
        <v>116</v>
      </c>
      <c r="C298" t="s">
        <v>22</v>
      </c>
      <c r="D298" t="s">
        <v>19</v>
      </c>
      <c r="E298">
        <v>134</v>
      </c>
      <c r="F298">
        <v>187.6</v>
      </c>
      <c r="G298">
        <v>12</v>
      </c>
      <c r="H298">
        <v>40</v>
      </c>
      <c r="I298" t="s">
        <v>16</v>
      </c>
      <c r="J298" s="1">
        <v>45715</v>
      </c>
      <c r="K298" s="1">
        <v>45791</v>
      </c>
      <c r="L298" t="s">
        <v>17</v>
      </c>
      <c r="M298">
        <f>tblInventory[[#This Row],[Unit Cost]]*tblInventory[[#This Row],[Quantity in Stock]]</f>
        <v>1608</v>
      </c>
    </row>
    <row r="299" spans="1:13" x14ac:dyDescent="0.2">
      <c r="A299" t="s">
        <v>348</v>
      </c>
      <c r="B299" t="s">
        <v>46</v>
      </c>
      <c r="C299" t="s">
        <v>14</v>
      </c>
      <c r="D299" t="s">
        <v>19</v>
      </c>
      <c r="E299">
        <v>195</v>
      </c>
      <c r="F299">
        <v>253.5</v>
      </c>
      <c r="G299">
        <v>164</v>
      </c>
      <c r="H299">
        <v>50</v>
      </c>
      <c r="I299" t="s">
        <v>16</v>
      </c>
      <c r="J299" s="1">
        <v>46093</v>
      </c>
      <c r="K299" s="1">
        <v>46106</v>
      </c>
      <c r="L299" t="s">
        <v>23</v>
      </c>
      <c r="M299">
        <f>tblInventory[[#This Row],[Unit Cost]]*tblInventory[[#This Row],[Quantity in Stock]]</f>
        <v>31980</v>
      </c>
    </row>
    <row r="300" spans="1:13" x14ac:dyDescent="0.2">
      <c r="A300" t="s">
        <v>349</v>
      </c>
      <c r="B300" t="s">
        <v>42</v>
      </c>
      <c r="C300" t="s">
        <v>34</v>
      </c>
      <c r="D300" t="s">
        <v>15</v>
      </c>
      <c r="E300">
        <v>423</v>
      </c>
      <c r="F300">
        <v>507.6</v>
      </c>
      <c r="G300">
        <v>151</v>
      </c>
      <c r="H300">
        <v>25</v>
      </c>
      <c r="I300" t="s">
        <v>16</v>
      </c>
      <c r="J300" s="1">
        <v>46081</v>
      </c>
      <c r="K300" s="1">
        <v>46144</v>
      </c>
      <c r="L300" t="s">
        <v>23</v>
      </c>
      <c r="M300">
        <f>tblInventory[[#This Row],[Unit Cost]]*tblInventory[[#This Row],[Quantity in Stock]]</f>
        <v>63873</v>
      </c>
    </row>
    <row r="301" spans="1:13" x14ac:dyDescent="0.2">
      <c r="A301" t="s">
        <v>350</v>
      </c>
      <c r="B301" t="s">
        <v>104</v>
      </c>
      <c r="C301" t="s">
        <v>29</v>
      </c>
      <c r="D301" t="s">
        <v>15</v>
      </c>
      <c r="E301">
        <v>671</v>
      </c>
      <c r="F301">
        <v>872.3</v>
      </c>
      <c r="G301">
        <v>234</v>
      </c>
      <c r="H301">
        <v>10</v>
      </c>
      <c r="I301" t="s">
        <v>31</v>
      </c>
      <c r="J301" s="1">
        <v>45858</v>
      </c>
      <c r="K301" s="1">
        <v>45887</v>
      </c>
      <c r="L301" t="s">
        <v>23</v>
      </c>
      <c r="M301">
        <f>tblInventory[[#This Row],[Unit Cost]]*tblInventory[[#This Row],[Quantity in Stock]]</f>
        <v>157014</v>
      </c>
    </row>
    <row r="302" spans="1:13" x14ac:dyDescent="0.2">
      <c r="A302" t="s">
        <v>351</v>
      </c>
      <c r="B302" t="s">
        <v>87</v>
      </c>
      <c r="C302" t="s">
        <v>29</v>
      </c>
      <c r="D302" t="s">
        <v>19</v>
      </c>
      <c r="E302">
        <v>304</v>
      </c>
      <c r="F302">
        <v>395.2</v>
      </c>
      <c r="G302">
        <v>184</v>
      </c>
      <c r="H302">
        <v>40</v>
      </c>
      <c r="I302" t="s">
        <v>31</v>
      </c>
      <c r="J302" s="1">
        <v>45884</v>
      </c>
      <c r="K302" s="1">
        <v>45970</v>
      </c>
      <c r="L302" t="s">
        <v>23</v>
      </c>
      <c r="M302">
        <f>tblInventory[[#This Row],[Unit Cost]]*tblInventory[[#This Row],[Quantity in Stock]]</f>
        <v>55936</v>
      </c>
    </row>
    <row r="303" spans="1:13" x14ac:dyDescent="0.2">
      <c r="A303" t="s">
        <v>352</v>
      </c>
      <c r="B303" t="s">
        <v>161</v>
      </c>
      <c r="C303" t="s">
        <v>34</v>
      </c>
      <c r="D303" t="s">
        <v>15</v>
      </c>
      <c r="E303">
        <v>23</v>
      </c>
      <c r="F303">
        <v>27.6</v>
      </c>
      <c r="G303">
        <v>235</v>
      </c>
      <c r="H303">
        <v>50</v>
      </c>
      <c r="I303" t="s">
        <v>16</v>
      </c>
      <c r="J303" s="1">
        <v>46141</v>
      </c>
      <c r="K303" s="1">
        <v>46172</v>
      </c>
      <c r="L303" t="s">
        <v>23</v>
      </c>
      <c r="M303">
        <f>tblInventory[[#This Row],[Unit Cost]]*tblInventory[[#This Row],[Quantity in Stock]]</f>
        <v>5405</v>
      </c>
    </row>
    <row r="304" spans="1:13" x14ac:dyDescent="0.2">
      <c r="A304" t="s">
        <v>353</v>
      </c>
      <c r="B304" t="s">
        <v>57</v>
      </c>
      <c r="C304" t="s">
        <v>29</v>
      </c>
      <c r="D304" t="s">
        <v>30</v>
      </c>
      <c r="E304">
        <v>127</v>
      </c>
      <c r="F304">
        <v>177.8</v>
      </c>
      <c r="G304">
        <v>57</v>
      </c>
      <c r="H304">
        <v>15</v>
      </c>
      <c r="I304" t="s">
        <v>16</v>
      </c>
      <c r="J304" s="1">
        <v>45815</v>
      </c>
      <c r="K304" s="1">
        <v>45831</v>
      </c>
      <c r="L304" t="s">
        <v>23</v>
      </c>
      <c r="M304">
        <f>tblInventory[[#This Row],[Unit Cost]]*tblInventory[[#This Row],[Quantity in Stock]]</f>
        <v>7239</v>
      </c>
    </row>
    <row r="305" spans="1:13" x14ac:dyDescent="0.2">
      <c r="A305" t="s">
        <v>354</v>
      </c>
      <c r="B305" t="s">
        <v>63</v>
      </c>
      <c r="C305" t="s">
        <v>22</v>
      </c>
      <c r="D305" t="s">
        <v>35</v>
      </c>
      <c r="E305">
        <v>425</v>
      </c>
      <c r="F305">
        <v>637.5</v>
      </c>
      <c r="G305">
        <v>117</v>
      </c>
      <c r="H305">
        <v>10</v>
      </c>
      <c r="I305" t="s">
        <v>31</v>
      </c>
      <c r="J305" s="1">
        <v>45783</v>
      </c>
      <c r="K305" s="1">
        <v>45815</v>
      </c>
      <c r="L305" t="s">
        <v>23</v>
      </c>
      <c r="M305">
        <f>tblInventory[[#This Row],[Unit Cost]]*tblInventory[[#This Row],[Quantity in Stock]]</f>
        <v>49725</v>
      </c>
    </row>
    <row r="306" spans="1:13" x14ac:dyDescent="0.2">
      <c r="A306" t="s">
        <v>355</v>
      </c>
      <c r="B306" t="s">
        <v>48</v>
      </c>
      <c r="C306" t="s">
        <v>14</v>
      </c>
      <c r="D306" t="s">
        <v>19</v>
      </c>
      <c r="E306">
        <v>53</v>
      </c>
      <c r="F306">
        <v>68.900000000000006</v>
      </c>
      <c r="G306">
        <v>172</v>
      </c>
      <c r="H306">
        <v>40</v>
      </c>
      <c r="I306" t="s">
        <v>16</v>
      </c>
      <c r="J306" s="1">
        <v>45927</v>
      </c>
      <c r="K306" s="1">
        <v>46011</v>
      </c>
      <c r="L306" t="s">
        <v>23</v>
      </c>
      <c r="M306">
        <f>tblInventory[[#This Row],[Unit Cost]]*tblInventory[[#This Row],[Quantity in Stock]]</f>
        <v>9116</v>
      </c>
    </row>
    <row r="307" spans="1:13" x14ac:dyDescent="0.2">
      <c r="A307" t="s">
        <v>356</v>
      </c>
      <c r="B307" t="s">
        <v>116</v>
      </c>
      <c r="C307" t="s">
        <v>22</v>
      </c>
      <c r="D307" t="s">
        <v>30</v>
      </c>
      <c r="E307">
        <v>96</v>
      </c>
      <c r="F307">
        <v>144</v>
      </c>
      <c r="G307">
        <v>265</v>
      </c>
      <c r="H307">
        <v>15</v>
      </c>
      <c r="I307" t="s">
        <v>31</v>
      </c>
      <c r="J307" s="1">
        <v>45717</v>
      </c>
      <c r="K307" s="1">
        <v>45766</v>
      </c>
      <c r="L307" t="s">
        <v>23</v>
      </c>
      <c r="M307">
        <f>tblInventory[[#This Row],[Unit Cost]]*tblInventory[[#This Row],[Quantity in Stock]]</f>
        <v>25440</v>
      </c>
    </row>
    <row r="308" spans="1:13" x14ac:dyDescent="0.2">
      <c r="A308" t="s">
        <v>357</v>
      </c>
      <c r="B308" t="s">
        <v>28</v>
      </c>
      <c r="C308" t="s">
        <v>29</v>
      </c>
      <c r="D308" t="s">
        <v>26</v>
      </c>
      <c r="E308">
        <v>136</v>
      </c>
      <c r="F308">
        <v>176.8</v>
      </c>
      <c r="G308">
        <v>276</v>
      </c>
      <c r="H308">
        <v>20</v>
      </c>
      <c r="I308" t="s">
        <v>16</v>
      </c>
      <c r="J308" s="1">
        <v>45992</v>
      </c>
      <c r="K308" s="1">
        <v>46032</v>
      </c>
      <c r="L308" t="s">
        <v>23</v>
      </c>
      <c r="M308">
        <f>tblInventory[[#This Row],[Unit Cost]]*tblInventory[[#This Row],[Quantity in Stock]]</f>
        <v>37536</v>
      </c>
    </row>
    <row r="309" spans="1:13" x14ac:dyDescent="0.2">
      <c r="A309" t="s">
        <v>358</v>
      </c>
      <c r="B309" t="s">
        <v>28</v>
      </c>
      <c r="C309" t="s">
        <v>29</v>
      </c>
      <c r="D309" t="s">
        <v>26</v>
      </c>
      <c r="E309">
        <v>628</v>
      </c>
      <c r="F309">
        <v>753.6</v>
      </c>
      <c r="G309">
        <v>36</v>
      </c>
      <c r="H309">
        <v>15</v>
      </c>
      <c r="I309" t="s">
        <v>16</v>
      </c>
      <c r="J309" s="1">
        <v>46003</v>
      </c>
      <c r="K309" s="1">
        <v>46027</v>
      </c>
      <c r="L309" t="s">
        <v>23</v>
      </c>
      <c r="M309">
        <f>tblInventory[[#This Row],[Unit Cost]]*tblInventory[[#This Row],[Quantity in Stock]]</f>
        <v>22608</v>
      </c>
    </row>
    <row r="310" spans="1:13" x14ac:dyDescent="0.2">
      <c r="A310" t="s">
        <v>359</v>
      </c>
      <c r="B310" t="s">
        <v>50</v>
      </c>
      <c r="C310" t="s">
        <v>34</v>
      </c>
      <c r="D310" t="s">
        <v>35</v>
      </c>
      <c r="E310">
        <v>415</v>
      </c>
      <c r="F310">
        <v>622.5</v>
      </c>
      <c r="G310">
        <v>159</v>
      </c>
      <c r="H310">
        <v>40</v>
      </c>
      <c r="I310" t="s">
        <v>16</v>
      </c>
      <c r="J310" s="1">
        <v>45783</v>
      </c>
      <c r="K310" s="1">
        <v>45868</v>
      </c>
      <c r="L310" t="s">
        <v>23</v>
      </c>
      <c r="M310">
        <f>tblInventory[[#This Row],[Unit Cost]]*tblInventory[[#This Row],[Quantity in Stock]]</f>
        <v>65985</v>
      </c>
    </row>
    <row r="311" spans="1:13" x14ac:dyDescent="0.2">
      <c r="A311" t="s">
        <v>360</v>
      </c>
      <c r="B311" t="s">
        <v>48</v>
      </c>
      <c r="C311" t="s">
        <v>14</v>
      </c>
      <c r="D311" t="s">
        <v>26</v>
      </c>
      <c r="E311">
        <v>538</v>
      </c>
      <c r="F311">
        <v>807</v>
      </c>
      <c r="G311">
        <v>223</v>
      </c>
      <c r="H311">
        <v>40</v>
      </c>
      <c r="I311" t="s">
        <v>43</v>
      </c>
      <c r="J311" s="1">
        <v>45697</v>
      </c>
      <c r="K311" s="1">
        <v>45780</v>
      </c>
      <c r="L311" t="s">
        <v>23</v>
      </c>
      <c r="M311">
        <f>tblInventory[[#This Row],[Unit Cost]]*tblInventory[[#This Row],[Quantity in Stock]]</f>
        <v>119974</v>
      </c>
    </row>
    <row r="312" spans="1:13" x14ac:dyDescent="0.2">
      <c r="A312" t="s">
        <v>361</v>
      </c>
      <c r="B312" t="s">
        <v>46</v>
      </c>
      <c r="C312" t="s">
        <v>14</v>
      </c>
      <c r="D312" t="s">
        <v>40</v>
      </c>
      <c r="E312">
        <v>119</v>
      </c>
      <c r="F312">
        <v>166.6</v>
      </c>
      <c r="G312">
        <v>173</v>
      </c>
      <c r="H312">
        <v>25</v>
      </c>
      <c r="I312" t="s">
        <v>31</v>
      </c>
      <c r="J312" s="1">
        <v>45785</v>
      </c>
      <c r="K312" s="1">
        <v>45859</v>
      </c>
      <c r="L312" t="s">
        <v>23</v>
      </c>
      <c r="M312">
        <f>tblInventory[[#This Row],[Unit Cost]]*tblInventory[[#This Row],[Quantity in Stock]]</f>
        <v>20587</v>
      </c>
    </row>
    <row r="313" spans="1:13" x14ac:dyDescent="0.2">
      <c r="A313" t="s">
        <v>362</v>
      </c>
      <c r="B313" t="s">
        <v>46</v>
      </c>
      <c r="C313" t="s">
        <v>14</v>
      </c>
      <c r="D313" t="s">
        <v>35</v>
      </c>
      <c r="E313">
        <v>141</v>
      </c>
      <c r="F313">
        <v>197.4</v>
      </c>
      <c r="G313">
        <v>232</v>
      </c>
      <c r="H313">
        <v>50</v>
      </c>
      <c r="I313" t="s">
        <v>43</v>
      </c>
      <c r="J313" s="1">
        <v>45780</v>
      </c>
      <c r="K313" s="1">
        <v>45799</v>
      </c>
      <c r="L313" t="s">
        <v>23</v>
      </c>
      <c r="M313">
        <f>tblInventory[[#This Row],[Unit Cost]]*tblInventory[[#This Row],[Quantity in Stock]]</f>
        <v>32712</v>
      </c>
    </row>
    <row r="314" spans="1:13" x14ac:dyDescent="0.2">
      <c r="A314" t="s">
        <v>363</v>
      </c>
      <c r="B314" t="s">
        <v>70</v>
      </c>
      <c r="C314" t="s">
        <v>14</v>
      </c>
      <c r="D314" t="s">
        <v>35</v>
      </c>
      <c r="E314">
        <v>100</v>
      </c>
      <c r="F314">
        <v>130</v>
      </c>
      <c r="G314">
        <v>236</v>
      </c>
      <c r="H314">
        <v>20</v>
      </c>
      <c r="I314" t="s">
        <v>16</v>
      </c>
      <c r="J314" s="1">
        <v>45926</v>
      </c>
      <c r="K314" s="1">
        <v>45966</v>
      </c>
      <c r="L314" t="s">
        <v>23</v>
      </c>
      <c r="M314">
        <f>tblInventory[[#This Row],[Unit Cost]]*tblInventory[[#This Row],[Quantity in Stock]]</f>
        <v>23600</v>
      </c>
    </row>
    <row r="315" spans="1:13" x14ac:dyDescent="0.2">
      <c r="A315" t="s">
        <v>364</v>
      </c>
      <c r="B315" t="s">
        <v>28</v>
      </c>
      <c r="C315" t="s">
        <v>29</v>
      </c>
      <c r="D315" t="s">
        <v>19</v>
      </c>
      <c r="E315">
        <v>576</v>
      </c>
      <c r="F315">
        <v>691.2</v>
      </c>
      <c r="G315">
        <v>39</v>
      </c>
      <c r="H315">
        <v>30</v>
      </c>
      <c r="I315" t="s">
        <v>16</v>
      </c>
      <c r="J315" s="1">
        <v>45870</v>
      </c>
      <c r="K315" s="1">
        <v>45928</v>
      </c>
      <c r="L315" t="s">
        <v>23</v>
      </c>
      <c r="M315">
        <f>tblInventory[[#This Row],[Unit Cost]]*tblInventory[[#This Row],[Quantity in Stock]]</f>
        <v>22464</v>
      </c>
    </row>
    <row r="316" spans="1:13" x14ac:dyDescent="0.2">
      <c r="A316" t="s">
        <v>365</v>
      </c>
      <c r="B316" t="s">
        <v>13</v>
      </c>
      <c r="C316" t="s">
        <v>14</v>
      </c>
      <c r="D316" t="s">
        <v>19</v>
      </c>
      <c r="E316">
        <v>357</v>
      </c>
      <c r="F316">
        <v>499.8</v>
      </c>
      <c r="G316">
        <v>67</v>
      </c>
      <c r="H316">
        <v>25</v>
      </c>
      <c r="I316" t="s">
        <v>43</v>
      </c>
      <c r="J316" s="1">
        <v>45957</v>
      </c>
      <c r="K316" s="1">
        <v>46010</v>
      </c>
      <c r="L316" t="s">
        <v>23</v>
      </c>
      <c r="M316">
        <f>tblInventory[[#This Row],[Unit Cost]]*tblInventory[[#This Row],[Quantity in Stock]]</f>
        <v>23919</v>
      </c>
    </row>
    <row r="317" spans="1:13" x14ac:dyDescent="0.2">
      <c r="A317" t="s">
        <v>366</v>
      </c>
      <c r="B317" t="s">
        <v>28</v>
      </c>
      <c r="C317" t="s">
        <v>29</v>
      </c>
      <c r="D317" t="s">
        <v>15</v>
      </c>
      <c r="E317">
        <v>317</v>
      </c>
      <c r="F317">
        <v>443.8</v>
      </c>
      <c r="G317">
        <v>102</v>
      </c>
      <c r="H317">
        <v>20</v>
      </c>
      <c r="I317" t="s">
        <v>43</v>
      </c>
      <c r="J317" s="1">
        <v>46193</v>
      </c>
      <c r="K317" s="1">
        <v>46276</v>
      </c>
      <c r="L317" t="s">
        <v>23</v>
      </c>
      <c r="M317">
        <f>tblInventory[[#This Row],[Unit Cost]]*tblInventory[[#This Row],[Quantity in Stock]]</f>
        <v>32334</v>
      </c>
    </row>
    <row r="318" spans="1:13" x14ac:dyDescent="0.2">
      <c r="A318" t="s">
        <v>367</v>
      </c>
      <c r="B318" t="s">
        <v>37</v>
      </c>
      <c r="C318" t="s">
        <v>22</v>
      </c>
      <c r="D318" t="s">
        <v>35</v>
      </c>
      <c r="E318">
        <v>525</v>
      </c>
      <c r="F318">
        <v>735</v>
      </c>
      <c r="G318">
        <v>76</v>
      </c>
      <c r="H318">
        <v>25</v>
      </c>
      <c r="I318" t="s">
        <v>31</v>
      </c>
      <c r="J318" s="1">
        <v>46038</v>
      </c>
      <c r="K318" s="1">
        <v>46113</v>
      </c>
      <c r="L318" t="s">
        <v>23</v>
      </c>
      <c r="M318">
        <f>tblInventory[[#This Row],[Unit Cost]]*tblInventory[[#This Row],[Quantity in Stock]]</f>
        <v>39900</v>
      </c>
    </row>
    <row r="319" spans="1:13" x14ac:dyDescent="0.2">
      <c r="A319" t="s">
        <v>368</v>
      </c>
      <c r="B319" t="s">
        <v>161</v>
      </c>
      <c r="C319" t="s">
        <v>34</v>
      </c>
      <c r="D319" t="s">
        <v>35</v>
      </c>
      <c r="E319">
        <v>384</v>
      </c>
      <c r="F319">
        <v>576</v>
      </c>
      <c r="G319">
        <v>40</v>
      </c>
      <c r="H319">
        <v>30</v>
      </c>
      <c r="I319" t="s">
        <v>16</v>
      </c>
      <c r="J319" s="1">
        <v>45792</v>
      </c>
      <c r="K319" s="1">
        <v>45839</v>
      </c>
      <c r="L319" t="s">
        <v>23</v>
      </c>
      <c r="M319">
        <f>tblInventory[[#This Row],[Unit Cost]]*tblInventory[[#This Row],[Quantity in Stock]]</f>
        <v>15360</v>
      </c>
    </row>
    <row r="320" spans="1:13" x14ac:dyDescent="0.2">
      <c r="A320" t="s">
        <v>369</v>
      </c>
      <c r="B320" t="s">
        <v>50</v>
      </c>
      <c r="C320" t="s">
        <v>34</v>
      </c>
      <c r="D320" t="s">
        <v>26</v>
      </c>
      <c r="E320">
        <v>523</v>
      </c>
      <c r="F320">
        <v>627.6</v>
      </c>
      <c r="G320">
        <v>34</v>
      </c>
      <c r="H320">
        <v>25</v>
      </c>
      <c r="I320" t="s">
        <v>16</v>
      </c>
      <c r="J320" s="1">
        <v>46077</v>
      </c>
      <c r="K320" s="1">
        <v>46146</v>
      </c>
      <c r="L320" t="s">
        <v>23</v>
      </c>
      <c r="M320">
        <f>tblInventory[[#This Row],[Unit Cost]]*tblInventory[[#This Row],[Quantity in Stock]]</f>
        <v>17782</v>
      </c>
    </row>
    <row r="321" spans="1:13" x14ac:dyDescent="0.2">
      <c r="A321" t="s">
        <v>370</v>
      </c>
      <c r="B321" t="s">
        <v>104</v>
      </c>
      <c r="C321" t="s">
        <v>29</v>
      </c>
      <c r="D321" t="s">
        <v>30</v>
      </c>
      <c r="E321">
        <v>280</v>
      </c>
      <c r="F321">
        <v>392</v>
      </c>
      <c r="G321">
        <v>236</v>
      </c>
      <c r="H321">
        <v>25</v>
      </c>
      <c r="I321" t="s">
        <v>43</v>
      </c>
      <c r="J321" s="1">
        <v>45788</v>
      </c>
      <c r="K321" s="1">
        <v>45856</v>
      </c>
      <c r="L321" t="s">
        <v>23</v>
      </c>
      <c r="M321">
        <f>tblInventory[[#This Row],[Unit Cost]]*tblInventory[[#This Row],[Quantity in Stock]]</f>
        <v>66080</v>
      </c>
    </row>
    <row r="322" spans="1:13" x14ac:dyDescent="0.2">
      <c r="A322" t="s">
        <v>371</v>
      </c>
      <c r="B322" t="s">
        <v>33</v>
      </c>
      <c r="C322" t="s">
        <v>34</v>
      </c>
      <c r="D322" t="s">
        <v>15</v>
      </c>
      <c r="E322">
        <v>377</v>
      </c>
      <c r="F322">
        <v>565.5</v>
      </c>
      <c r="G322">
        <v>241</v>
      </c>
      <c r="H322">
        <v>25</v>
      </c>
      <c r="I322" t="s">
        <v>43</v>
      </c>
      <c r="J322" s="1">
        <v>45980</v>
      </c>
      <c r="K322" s="1">
        <v>46002</v>
      </c>
      <c r="L322" t="s">
        <v>23</v>
      </c>
      <c r="M322">
        <f>tblInventory[[#This Row],[Unit Cost]]*tblInventory[[#This Row],[Quantity in Stock]]</f>
        <v>90857</v>
      </c>
    </row>
    <row r="323" spans="1:13" x14ac:dyDescent="0.2">
      <c r="A323" t="s">
        <v>372</v>
      </c>
      <c r="B323" t="s">
        <v>25</v>
      </c>
      <c r="C323" t="s">
        <v>14</v>
      </c>
      <c r="D323" t="s">
        <v>40</v>
      </c>
      <c r="E323">
        <v>273</v>
      </c>
      <c r="F323">
        <v>409.5</v>
      </c>
      <c r="G323">
        <v>281</v>
      </c>
      <c r="H323">
        <v>50</v>
      </c>
      <c r="I323" t="s">
        <v>16</v>
      </c>
      <c r="J323" s="1">
        <v>46040</v>
      </c>
      <c r="K323" s="1">
        <v>46062</v>
      </c>
      <c r="L323" t="s">
        <v>23</v>
      </c>
      <c r="M323">
        <f>tblInventory[[#This Row],[Unit Cost]]*tblInventory[[#This Row],[Quantity in Stock]]</f>
        <v>76713</v>
      </c>
    </row>
    <row r="324" spans="1:13" x14ac:dyDescent="0.2">
      <c r="A324" t="s">
        <v>373</v>
      </c>
      <c r="B324" t="s">
        <v>104</v>
      </c>
      <c r="C324" t="s">
        <v>29</v>
      </c>
      <c r="D324" t="s">
        <v>15</v>
      </c>
      <c r="E324">
        <v>582</v>
      </c>
      <c r="F324">
        <v>756.6</v>
      </c>
      <c r="G324">
        <v>149</v>
      </c>
      <c r="H324">
        <v>50</v>
      </c>
      <c r="I324" t="s">
        <v>43</v>
      </c>
      <c r="J324" s="1">
        <v>45924</v>
      </c>
      <c r="K324" s="1">
        <v>45927</v>
      </c>
      <c r="L324" t="s">
        <v>23</v>
      </c>
      <c r="M324">
        <f>tblInventory[[#This Row],[Unit Cost]]*tblInventory[[#This Row],[Quantity in Stock]]</f>
        <v>86718</v>
      </c>
    </row>
    <row r="325" spans="1:13" x14ac:dyDescent="0.2">
      <c r="A325" t="s">
        <v>374</v>
      </c>
      <c r="B325" t="s">
        <v>60</v>
      </c>
      <c r="C325" t="s">
        <v>34</v>
      </c>
      <c r="D325" t="s">
        <v>15</v>
      </c>
      <c r="E325">
        <v>310</v>
      </c>
      <c r="F325">
        <v>465</v>
      </c>
      <c r="G325">
        <v>299</v>
      </c>
      <c r="H325">
        <v>15</v>
      </c>
      <c r="I325" t="s">
        <v>43</v>
      </c>
      <c r="J325" s="1">
        <v>46062</v>
      </c>
      <c r="K325" s="1">
        <v>46094</v>
      </c>
      <c r="L325" t="s">
        <v>23</v>
      </c>
      <c r="M325">
        <f>tblInventory[[#This Row],[Unit Cost]]*tblInventory[[#This Row],[Quantity in Stock]]</f>
        <v>92690</v>
      </c>
    </row>
    <row r="326" spans="1:13" x14ac:dyDescent="0.2">
      <c r="A326" t="s">
        <v>375</v>
      </c>
      <c r="B326" t="s">
        <v>70</v>
      </c>
      <c r="C326" t="s">
        <v>14</v>
      </c>
      <c r="D326" t="s">
        <v>35</v>
      </c>
      <c r="E326">
        <v>106</v>
      </c>
      <c r="F326">
        <v>159</v>
      </c>
      <c r="G326">
        <v>92</v>
      </c>
      <c r="H326">
        <v>10</v>
      </c>
      <c r="I326" t="s">
        <v>43</v>
      </c>
      <c r="J326" s="1">
        <v>45736</v>
      </c>
      <c r="K326" s="1">
        <v>45792</v>
      </c>
      <c r="L326" t="s">
        <v>23</v>
      </c>
      <c r="M326">
        <f>tblInventory[[#This Row],[Unit Cost]]*tblInventory[[#This Row],[Quantity in Stock]]</f>
        <v>9752</v>
      </c>
    </row>
    <row r="327" spans="1:13" x14ac:dyDescent="0.2">
      <c r="A327" t="s">
        <v>376</v>
      </c>
      <c r="B327" t="s">
        <v>25</v>
      </c>
      <c r="C327" t="s">
        <v>14</v>
      </c>
      <c r="D327" t="s">
        <v>19</v>
      </c>
      <c r="E327">
        <v>505</v>
      </c>
      <c r="F327">
        <v>606</v>
      </c>
      <c r="G327">
        <v>224</v>
      </c>
      <c r="H327">
        <v>20</v>
      </c>
      <c r="I327" t="s">
        <v>16</v>
      </c>
      <c r="J327" s="1">
        <v>45751</v>
      </c>
      <c r="K327" s="1">
        <v>45765</v>
      </c>
      <c r="L327" t="s">
        <v>23</v>
      </c>
      <c r="M327">
        <f>tblInventory[[#This Row],[Unit Cost]]*tblInventory[[#This Row],[Quantity in Stock]]</f>
        <v>113120</v>
      </c>
    </row>
    <row r="328" spans="1:13" x14ac:dyDescent="0.2">
      <c r="A328" t="s">
        <v>377</v>
      </c>
      <c r="B328" t="s">
        <v>13</v>
      </c>
      <c r="C328" t="s">
        <v>14</v>
      </c>
      <c r="D328" t="s">
        <v>35</v>
      </c>
      <c r="E328">
        <v>434</v>
      </c>
      <c r="F328">
        <v>651</v>
      </c>
      <c r="G328">
        <v>154</v>
      </c>
      <c r="H328">
        <v>50</v>
      </c>
      <c r="I328" t="s">
        <v>31</v>
      </c>
      <c r="J328" s="1">
        <v>46123</v>
      </c>
      <c r="K328" s="1">
        <v>46193</v>
      </c>
      <c r="L328" t="s">
        <v>23</v>
      </c>
      <c r="M328">
        <f>tblInventory[[#This Row],[Unit Cost]]*tblInventory[[#This Row],[Quantity in Stock]]</f>
        <v>66836</v>
      </c>
    </row>
    <row r="329" spans="1:13" x14ac:dyDescent="0.2">
      <c r="A329" t="s">
        <v>378</v>
      </c>
      <c r="B329" t="s">
        <v>63</v>
      </c>
      <c r="C329" t="s">
        <v>22</v>
      </c>
      <c r="D329" t="s">
        <v>19</v>
      </c>
      <c r="E329">
        <v>305</v>
      </c>
      <c r="F329">
        <v>427</v>
      </c>
      <c r="G329">
        <v>191</v>
      </c>
      <c r="H329">
        <v>15</v>
      </c>
      <c r="I329" t="s">
        <v>31</v>
      </c>
      <c r="J329" s="1">
        <v>45764</v>
      </c>
      <c r="K329" s="1">
        <v>45790</v>
      </c>
      <c r="L329" t="s">
        <v>23</v>
      </c>
      <c r="M329">
        <f>tblInventory[[#This Row],[Unit Cost]]*tblInventory[[#This Row],[Quantity in Stock]]</f>
        <v>58255</v>
      </c>
    </row>
    <row r="330" spans="1:13" x14ac:dyDescent="0.2">
      <c r="A330" t="s">
        <v>379</v>
      </c>
      <c r="B330" t="s">
        <v>42</v>
      </c>
      <c r="C330" t="s">
        <v>34</v>
      </c>
      <c r="D330" t="s">
        <v>35</v>
      </c>
      <c r="E330">
        <v>529</v>
      </c>
      <c r="F330">
        <v>740.6</v>
      </c>
      <c r="G330">
        <v>188</v>
      </c>
      <c r="H330">
        <v>40</v>
      </c>
      <c r="I330" t="s">
        <v>16</v>
      </c>
      <c r="J330" s="1">
        <v>46077</v>
      </c>
      <c r="K330" s="1">
        <v>46144</v>
      </c>
      <c r="L330" t="s">
        <v>23</v>
      </c>
      <c r="M330">
        <f>tblInventory[[#This Row],[Unit Cost]]*tblInventory[[#This Row],[Quantity in Stock]]</f>
        <v>99452</v>
      </c>
    </row>
    <row r="331" spans="1:13" x14ac:dyDescent="0.2">
      <c r="A331" t="s">
        <v>380</v>
      </c>
      <c r="B331" t="s">
        <v>104</v>
      </c>
      <c r="C331" t="s">
        <v>29</v>
      </c>
      <c r="D331" t="s">
        <v>26</v>
      </c>
      <c r="E331">
        <v>183</v>
      </c>
      <c r="F331">
        <v>274.5</v>
      </c>
      <c r="G331">
        <v>178</v>
      </c>
      <c r="H331">
        <v>20</v>
      </c>
      <c r="I331" t="s">
        <v>31</v>
      </c>
      <c r="J331" s="1">
        <v>46025</v>
      </c>
      <c r="K331" s="1">
        <v>46061</v>
      </c>
      <c r="L331" t="s">
        <v>23</v>
      </c>
      <c r="M331">
        <f>tblInventory[[#This Row],[Unit Cost]]*tblInventory[[#This Row],[Quantity in Stock]]</f>
        <v>32574</v>
      </c>
    </row>
    <row r="332" spans="1:13" x14ac:dyDescent="0.2">
      <c r="A332" t="s">
        <v>381</v>
      </c>
      <c r="B332" t="s">
        <v>87</v>
      </c>
      <c r="C332" t="s">
        <v>29</v>
      </c>
      <c r="D332" t="s">
        <v>35</v>
      </c>
      <c r="E332">
        <v>515</v>
      </c>
      <c r="F332">
        <v>618</v>
      </c>
      <c r="G332">
        <v>36</v>
      </c>
      <c r="H332">
        <v>10</v>
      </c>
      <c r="I332" t="s">
        <v>16</v>
      </c>
      <c r="J332" s="1">
        <v>45739</v>
      </c>
      <c r="K332" s="1">
        <v>45789</v>
      </c>
      <c r="L332" t="s">
        <v>23</v>
      </c>
      <c r="M332">
        <f>tblInventory[[#This Row],[Unit Cost]]*tblInventory[[#This Row],[Quantity in Stock]]</f>
        <v>18540</v>
      </c>
    </row>
    <row r="333" spans="1:13" x14ac:dyDescent="0.2">
      <c r="A333" t="s">
        <v>382</v>
      </c>
      <c r="B333" t="s">
        <v>60</v>
      </c>
      <c r="C333" t="s">
        <v>34</v>
      </c>
      <c r="D333" t="s">
        <v>19</v>
      </c>
      <c r="E333">
        <v>100</v>
      </c>
      <c r="F333">
        <v>120</v>
      </c>
      <c r="G333">
        <v>171</v>
      </c>
      <c r="H333">
        <v>25</v>
      </c>
      <c r="I333" t="s">
        <v>16</v>
      </c>
      <c r="J333" s="1">
        <v>45787</v>
      </c>
      <c r="K333" s="1">
        <v>45820</v>
      </c>
      <c r="L333" t="s">
        <v>23</v>
      </c>
      <c r="M333">
        <f>tblInventory[[#This Row],[Unit Cost]]*tblInventory[[#This Row],[Quantity in Stock]]</f>
        <v>17100</v>
      </c>
    </row>
    <row r="334" spans="1:13" x14ac:dyDescent="0.2">
      <c r="A334" t="s">
        <v>383</v>
      </c>
      <c r="B334" t="s">
        <v>25</v>
      </c>
      <c r="C334" t="s">
        <v>14</v>
      </c>
      <c r="D334" t="s">
        <v>40</v>
      </c>
      <c r="E334">
        <v>308</v>
      </c>
      <c r="F334">
        <v>400.4</v>
      </c>
      <c r="G334">
        <v>157</v>
      </c>
      <c r="H334">
        <v>15</v>
      </c>
      <c r="I334" t="s">
        <v>31</v>
      </c>
      <c r="J334" s="1">
        <v>46113</v>
      </c>
      <c r="K334" s="1">
        <v>46143</v>
      </c>
      <c r="L334" t="s">
        <v>23</v>
      </c>
      <c r="M334">
        <f>tblInventory[[#This Row],[Unit Cost]]*tblInventory[[#This Row],[Quantity in Stock]]</f>
        <v>48356</v>
      </c>
    </row>
    <row r="335" spans="1:13" x14ac:dyDescent="0.2">
      <c r="A335" t="s">
        <v>384</v>
      </c>
      <c r="B335" t="s">
        <v>87</v>
      </c>
      <c r="C335" t="s">
        <v>29</v>
      </c>
      <c r="D335" t="s">
        <v>40</v>
      </c>
      <c r="E335">
        <v>535</v>
      </c>
      <c r="F335">
        <v>802.5</v>
      </c>
      <c r="G335">
        <v>293</v>
      </c>
      <c r="H335">
        <v>15</v>
      </c>
      <c r="I335" t="s">
        <v>43</v>
      </c>
      <c r="J335" s="1">
        <v>46052</v>
      </c>
      <c r="K335" s="1">
        <v>46109</v>
      </c>
      <c r="L335" t="s">
        <v>23</v>
      </c>
      <c r="M335">
        <f>tblInventory[[#This Row],[Unit Cost]]*tblInventory[[#This Row],[Quantity in Stock]]</f>
        <v>156755</v>
      </c>
    </row>
    <row r="336" spans="1:13" x14ac:dyDescent="0.2">
      <c r="A336" t="s">
        <v>385</v>
      </c>
      <c r="B336" t="s">
        <v>87</v>
      </c>
      <c r="C336" t="s">
        <v>29</v>
      </c>
      <c r="D336" t="s">
        <v>40</v>
      </c>
      <c r="E336">
        <v>258</v>
      </c>
      <c r="F336">
        <v>309.60000000000002</v>
      </c>
      <c r="G336">
        <v>165</v>
      </c>
      <c r="H336">
        <v>40</v>
      </c>
      <c r="I336" t="s">
        <v>31</v>
      </c>
      <c r="J336" s="1">
        <v>45878</v>
      </c>
      <c r="K336" s="1">
        <v>45892</v>
      </c>
      <c r="L336" t="s">
        <v>23</v>
      </c>
      <c r="M336">
        <f>tblInventory[[#This Row],[Unit Cost]]*tblInventory[[#This Row],[Quantity in Stock]]</f>
        <v>42570</v>
      </c>
    </row>
    <row r="337" spans="1:13" x14ac:dyDescent="0.2">
      <c r="A337" t="s">
        <v>386</v>
      </c>
      <c r="B337" t="s">
        <v>116</v>
      </c>
      <c r="C337" t="s">
        <v>22</v>
      </c>
      <c r="D337" t="s">
        <v>40</v>
      </c>
      <c r="E337">
        <v>519</v>
      </c>
      <c r="F337">
        <v>622.79999999999995</v>
      </c>
      <c r="G337">
        <v>27</v>
      </c>
      <c r="H337">
        <v>15</v>
      </c>
      <c r="I337" t="s">
        <v>31</v>
      </c>
      <c r="J337" s="1">
        <v>45912</v>
      </c>
      <c r="K337" s="1">
        <v>45990</v>
      </c>
      <c r="L337" t="s">
        <v>23</v>
      </c>
      <c r="M337">
        <f>tblInventory[[#This Row],[Unit Cost]]*tblInventory[[#This Row],[Quantity in Stock]]</f>
        <v>14013</v>
      </c>
    </row>
    <row r="338" spans="1:13" x14ac:dyDescent="0.2">
      <c r="A338" t="s">
        <v>387</v>
      </c>
      <c r="B338" t="s">
        <v>70</v>
      </c>
      <c r="C338" t="s">
        <v>14</v>
      </c>
      <c r="D338" t="s">
        <v>26</v>
      </c>
      <c r="E338">
        <v>544</v>
      </c>
      <c r="F338">
        <v>707.2</v>
      </c>
      <c r="G338">
        <v>225</v>
      </c>
      <c r="H338">
        <v>20</v>
      </c>
      <c r="I338" t="s">
        <v>43</v>
      </c>
      <c r="J338" s="1">
        <v>46140</v>
      </c>
      <c r="K338" s="1">
        <v>46160</v>
      </c>
      <c r="L338" t="s">
        <v>23</v>
      </c>
      <c r="M338">
        <f>tblInventory[[#This Row],[Unit Cost]]*tblInventory[[#This Row],[Quantity in Stock]]</f>
        <v>122400</v>
      </c>
    </row>
    <row r="339" spans="1:13" x14ac:dyDescent="0.2">
      <c r="A339" t="s">
        <v>388</v>
      </c>
      <c r="B339" t="s">
        <v>116</v>
      </c>
      <c r="C339" t="s">
        <v>22</v>
      </c>
      <c r="D339" t="s">
        <v>15</v>
      </c>
      <c r="E339">
        <v>170</v>
      </c>
      <c r="F339">
        <v>255</v>
      </c>
      <c r="G339">
        <v>300</v>
      </c>
      <c r="H339">
        <v>15</v>
      </c>
      <c r="I339" t="s">
        <v>31</v>
      </c>
      <c r="J339" s="1">
        <v>46088</v>
      </c>
      <c r="K339" s="1">
        <v>46138</v>
      </c>
      <c r="L339" t="s">
        <v>23</v>
      </c>
      <c r="M339">
        <f>tblInventory[[#This Row],[Unit Cost]]*tblInventory[[#This Row],[Quantity in Stock]]</f>
        <v>51000</v>
      </c>
    </row>
    <row r="340" spans="1:13" x14ac:dyDescent="0.2">
      <c r="A340" t="s">
        <v>389</v>
      </c>
      <c r="B340" t="s">
        <v>52</v>
      </c>
      <c r="C340" t="s">
        <v>22</v>
      </c>
      <c r="D340" t="s">
        <v>15</v>
      </c>
      <c r="E340">
        <v>445</v>
      </c>
      <c r="F340">
        <v>623</v>
      </c>
      <c r="G340">
        <v>151</v>
      </c>
      <c r="H340">
        <v>25</v>
      </c>
      <c r="I340" t="s">
        <v>16</v>
      </c>
      <c r="J340" s="1">
        <v>46109</v>
      </c>
      <c r="K340" s="1">
        <v>46139</v>
      </c>
      <c r="L340" t="s">
        <v>23</v>
      </c>
      <c r="M340">
        <f>tblInventory[[#This Row],[Unit Cost]]*tblInventory[[#This Row],[Quantity in Stock]]</f>
        <v>67195</v>
      </c>
    </row>
    <row r="341" spans="1:13" x14ac:dyDescent="0.2">
      <c r="A341" t="s">
        <v>390</v>
      </c>
      <c r="B341" t="s">
        <v>50</v>
      </c>
      <c r="C341" t="s">
        <v>34</v>
      </c>
      <c r="D341" t="s">
        <v>15</v>
      </c>
      <c r="E341">
        <v>638</v>
      </c>
      <c r="F341">
        <v>893.2</v>
      </c>
      <c r="G341">
        <v>284</v>
      </c>
      <c r="H341">
        <v>25</v>
      </c>
      <c r="I341" t="s">
        <v>31</v>
      </c>
      <c r="J341" s="1">
        <v>45916</v>
      </c>
      <c r="K341" s="1">
        <v>45965</v>
      </c>
      <c r="L341" t="s">
        <v>23</v>
      </c>
      <c r="M341">
        <f>tblInventory[[#This Row],[Unit Cost]]*tblInventory[[#This Row],[Quantity in Stock]]</f>
        <v>181192</v>
      </c>
    </row>
    <row r="342" spans="1:13" x14ac:dyDescent="0.2">
      <c r="A342" t="s">
        <v>391</v>
      </c>
      <c r="B342" t="s">
        <v>65</v>
      </c>
      <c r="C342" t="s">
        <v>22</v>
      </c>
      <c r="D342" t="s">
        <v>40</v>
      </c>
      <c r="E342">
        <v>401</v>
      </c>
      <c r="F342">
        <v>521.29999999999995</v>
      </c>
      <c r="G342">
        <v>87</v>
      </c>
      <c r="H342">
        <v>10</v>
      </c>
      <c r="I342" t="s">
        <v>43</v>
      </c>
      <c r="J342" s="1">
        <v>45670</v>
      </c>
      <c r="K342" s="1">
        <v>45738</v>
      </c>
      <c r="L342" t="s">
        <v>23</v>
      </c>
      <c r="M342">
        <f>tblInventory[[#This Row],[Unit Cost]]*tblInventory[[#This Row],[Quantity in Stock]]</f>
        <v>34887</v>
      </c>
    </row>
    <row r="343" spans="1:13" x14ac:dyDescent="0.2">
      <c r="A343" t="s">
        <v>392</v>
      </c>
      <c r="B343" t="s">
        <v>74</v>
      </c>
      <c r="C343" t="s">
        <v>29</v>
      </c>
      <c r="D343" t="s">
        <v>26</v>
      </c>
      <c r="E343">
        <v>443</v>
      </c>
      <c r="F343">
        <v>664.5</v>
      </c>
      <c r="G343">
        <v>162</v>
      </c>
      <c r="H343">
        <v>50</v>
      </c>
      <c r="I343" t="s">
        <v>31</v>
      </c>
      <c r="J343" s="1">
        <v>45742</v>
      </c>
      <c r="K343" s="1">
        <v>45745</v>
      </c>
      <c r="L343" t="s">
        <v>23</v>
      </c>
      <c r="M343">
        <f>tblInventory[[#This Row],[Unit Cost]]*tblInventory[[#This Row],[Quantity in Stock]]</f>
        <v>71766</v>
      </c>
    </row>
    <row r="344" spans="1:13" x14ac:dyDescent="0.2">
      <c r="A344" t="s">
        <v>393</v>
      </c>
      <c r="B344" t="s">
        <v>52</v>
      </c>
      <c r="C344" t="s">
        <v>22</v>
      </c>
      <c r="D344" t="s">
        <v>40</v>
      </c>
      <c r="E344">
        <v>165</v>
      </c>
      <c r="F344">
        <v>231</v>
      </c>
      <c r="G344">
        <v>29</v>
      </c>
      <c r="H344">
        <v>20</v>
      </c>
      <c r="I344" t="s">
        <v>31</v>
      </c>
      <c r="J344" s="1">
        <v>45728</v>
      </c>
      <c r="K344" s="1">
        <v>45774</v>
      </c>
      <c r="L344" t="s">
        <v>23</v>
      </c>
      <c r="M344">
        <f>tblInventory[[#This Row],[Unit Cost]]*tblInventory[[#This Row],[Quantity in Stock]]</f>
        <v>4785</v>
      </c>
    </row>
    <row r="345" spans="1:13" x14ac:dyDescent="0.2">
      <c r="A345" t="s">
        <v>394</v>
      </c>
      <c r="B345" t="s">
        <v>25</v>
      </c>
      <c r="C345" t="s">
        <v>14</v>
      </c>
      <c r="D345" t="s">
        <v>40</v>
      </c>
      <c r="E345">
        <v>400</v>
      </c>
      <c r="F345">
        <v>560</v>
      </c>
      <c r="G345">
        <v>280</v>
      </c>
      <c r="H345">
        <v>15</v>
      </c>
      <c r="I345" t="s">
        <v>43</v>
      </c>
      <c r="J345" s="1">
        <v>45747</v>
      </c>
      <c r="K345" s="1">
        <v>45779</v>
      </c>
      <c r="L345" t="s">
        <v>23</v>
      </c>
      <c r="M345">
        <f>tblInventory[[#This Row],[Unit Cost]]*tblInventory[[#This Row],[Quantity in Stock]]</f>
        <v>112000</v>
      </c>
    </row>
    <row r="346" spans="1:13" x14ac:dyDescent="0.2">
      <c r="A346" t="s">
        <v>395</v>
      </c>
      <c r="B346" t="s">
        <v>65</v>
      </c>
      <c r="C346" t="s">
        <v>22</v>
      </c>
      <c r="D346" t="s">
        <v>19</v>
      </c>
      <c r="E346">
        <v>109</v>
      </c>
      <c r="F346">
        <v>130.80000000000001</v>
      </c>
      <c r="G346">
        <v>280</v>
      </c>
      <c r="H346">
        <v>40</v>
      </c>
      <c r="I346" t="s">
        <v>31</v>
      </c>
      <c r="J346" s="1">
        <v>46115</v>
      </c>
      <c r="K346" s="1">
        <v>46192</v>
      </c>
      <c r="L346" t="s">
        <v>23</v>
      </c>
      <c r="M346">
        <f>tblInventory[[#This Row],[Unit Cost]]*tblInventory[[#This Row],[Quantity in Stock]]</f>
        <v>30520</v>
      </c>
    </row>
    <row r="347" spans="1:13" x14ac:dyDescent="0.2">
      <c r="A347" t="s">
        <v>396</v>
      </c>
      <c r="B347" t="s">
        <v>65</v>
      </c>
      <c r="C347" t="s">
        <v>22</v>
      </c>
      <c r="D347" t="s">
        <v>15</v>
      </c>
      <c r="E347">
        <v>202</v>
      </c>
      <c r="F347">
        <v>282.8</v>
      </c>
      <c r="G347">
        <v>239</v>
      </c>
      <c r="H347">
        <v>50</v>
      </c>
      <c r="I347" t="s">
        <v>43</v>
      </c>
      <c r="J347" s="1">
        <v>45713</v>
      </c>
      <c r="K347" s="1">
        <v>45742</v>
      </c>
      <c r="L347" t="s">
        <v>23</v>
      </c>
      <c r="M347">
        <f>tblInventory[[#This Row],[Unit Cost]]*tblInventory[[#This Row],[Quantity in Stock]]</f>
        <v>48278</v>
      </c>
    </row>
    <row r="348" spans="1:13" x14ac:dyDescent="0.2">
      <c r="A348" t="s">
        <v>397</v>
      </c>
      <c r="B348" t="s">
        <v>65</v>
      </c>
      <c r="C348" t="s">
        <v>22</v>
      </c>
      <c r="D348" t="s">
        <v>15</v>
      </c>
      <c r="E348">
        <v>179</v>
      </c>
      <c r="F348">
        <v>250.6</v>
      </c>
      <c r="G348">
        <v>247</v>
      </c>
      <c r="H348">
        <v>50</v>
      </c>
      <c r="I348" t="s">
        <v>43</v>
      </c>
      <c r="J348" s="1">
        <v>45755</v>
      </c>
      <c r="K348" s="1">
        <v>45813</v>
      </c>
      <c r="L348" t="s">
        <v>23</v>
      </c>
      <c r="M348">
        <f>tblInventory[[#This Row],[Unit Cost]]*tblInventory[[#This Row],[Quantity in Stock]]</f>
        <v>44213</v>
      </c>
    </row>
    <row r="349" spans="1:13" x14ac:dyDescent="0.2">
      <c r="A349" t="s">
        <v>398</v>
      </c>
      <c r="B349" t="s">
        <v>104</v>
      </c>
      <c r="C349" t="s">
        <v>29</v>
      </c>
      <c r="D349" t="s">
        <v>30</v>
      </c>
      <c r="E349">
        <v>389</v>
      </c>
      <c r="F349">
        <v>583.5</v>
      </c>
      <c r="G349">
        <v>85</v>
      </c>
      <c r="H349">
        <v>10</v>
      </c>
      <c r="I349" t="s">
        <v>16</v>
      </c>
      <c r="J349" s="1">
        <v>46042</v>
      </c>
      <c r="K349" s="1">
        <v>46056</v>
      </c>
      <c r="L349" t="s">
        <v>23</v>
      </c>
      <c r="M349">
        <f>tblInventory[[#This Row],[Unit Cost]]*tblInventory[[#This Row],[Quantity in Stock]]</f>
        <v>33065</v>
      </c>
    </row>
    <row r="350" spans="1:13" x14ac:dyDescent="0.2">
      <c r="A350" t="s">
        <v>399</v>
      </c>
      <c r="B350" t="s">
        <v>37</v>
      </c>
      <c r="C350" t="s">
        <v>22</v>
      </c>
      <c r="D350" t="s">
        <v>40</v>
      </c>
      <c r="E350">
        <v>350</v>
      </c>
      <c r="F350">
        <v>455</v>
      </c>
      <c r="G350">
        <v>213</v>
      </c>
      <c r="H350">
        <v>30</v>
      </c>
      <c r="I350" t="s">
        <v>31</v>
      </c>
      <c r="J350" s="1">
        <v>46172</v>
      </c>
      <c r="K350" s="1">
        <v>46186</v>
      </c>
      <c r="L350" t="s">
        <v>23</v>
      </c>
      <c r="M350">
        <f>tblInventory[[#This Row],[Unit Cost]]*tblInventory[[#This Row],[Quantity in Stock]]</f>
        <v>74550</v>
      </c>
    </row>
    <row r="351" spans="1:13" x14ac:dyDescent="0.2">
      <c r="A351" t="s">
        <v>400</v>
      </c>
      <c r="B351" t="s">
        <v>74</v>
      </c>
      <c r="C351" t="s">
        <v>29</v>
      </c>
      <c r="D351" t="s">
        <v>26</v>
      </c>
      <c r="E351">
        <v>181</v>
      </c>
      <c r="F351">
        <v>271.5</v>
      </c>
      <c r="G351">
        <v>25</v>
      </c>
      <c r="H351">
        <v>30</v>
      </c>
      <c r="I351" t="s">
        <v>31</v>
      </c>
      <c r="J351" s="1">
        <v>45665</v>
      </c>
      <c r="K351" s="1">
        <v>45693</v>
      </c>
      <c r="L351" t="s">
        <v>17</v>
      </c>
      <c r="M351">
        <f>tblInventory[[#This Row],[Unit Cost]]*tblInventory[[#This Row],[Quantity in Stock]]</f>
        <v>4525</v>
      </c>
    </row>
    <row r="352" spans="1:13" x14ac:dyDescent="0.2">
      <c r="A352" t="s">
        <v>401</v>
      </c>
      <c r="B352" t="s">
        <v>48</v>
      </c>
      <c r="C352" t="s">
        <v>14</v>
      </c>
      <c r="D352" t="s">
        <v>30</v>
      </c>
      <c r="E352">
        <v>434</v>
      </c>
      <c r="F352">
        <v>651</v>
      </c>
      <c r="G352">
        <v>119</v>
      </c>
      <c r="H352">
        <v>50</v>
      </c>
      <c r="I352" t="s">
        <v>31</v>
      </c>
      <c r="J352" s="1">
        <v>45790</v>
      </c>
      <c r="K352" s="1">
        <v>45871</v>
      </c>
      <c r="L352" t="s">
        <v>23</v>
      </c>
      <c r="M352">
        <f>tblInventory[[#This Row],[Unit Cost]]*tblInventory[[#This Row],[Quantity in Stock]]</f>
        <v>51646</v>
      </c>
    </row>
    <row r="353" spans="1:13" x14ac:dyDescent="0.2">
      <c r="A353" t="s">
        <v>402</v>
      </c>
      <c r="B353" t="s">
        <v>63</v>
      </c>
      <c r="C353" t="s">
        <v>22</v>
      </c>
      <c r="D353" t="s">
        <v>19</v>
      </c>
      <c r="E353">
        <v>329</v>
      </c>
      <c r="F353">
        <v>427.7</v>
      </c>
      <c r="G353">
        <v>192</v>
      </c>
      <c r="H353">
        <v>25</v>
      </c>
      <c r="I353" t="s">
        <v>16</v>
      </c>
      <c r="J353" s="1">
        <v>46011</v>
      </c>
      <c r="K353" s="1">
        <v>46054</v>
      </c>
      <c r="L353" t="s">
        <v>23</v>
      </c>
      <c r="M353">
        <f>tblInventory[[#This Row],[Unit Cost]]*tblInventory[[#This Row],[Quantity in Stock]]</f>
        <v>63168</v>
      </c>
    </row>
    <row r="354" spans="1:13" x14ac:dyDescent="0.2">
      <c r="A354" t="s">
        <v>403</v>
      </c>
      <c r="B354" t="s">
        <v>116</v>
      </c>
      <c r="C354" t="s">
        <v>22</v>
      </c>
      <c r="D354" t="s">
        <v>35</v>
      </c>
      <c r="E354">
        <v>121</v>
      </c>
      <c r="F354">
        <v>157.30000000000001</v>
      </c>
      <c r="G354">
        <v>187</v>
      </c>
      <c r="H354">
        <v>40</v>
      </c>
      <c r="I354" t="s">
        <v>16</v>
      </c>
      <c r="J354" s="1">
        <v>45779</v>
      </c>
      <c r="K354" s="1">
        <v>45842</v>
      </c>
      <c r="L354" t="s">
        <v>23</v>
      </c>
      <c r="M354">
        <f>tblInventory[[#This Row],[Unit Cost]]*tblInventory[[#This Row],[Quantity in Stock]]</f>
        <v>22627</v>
      </c>
    </row>
    <row r="355" spans="1:13" x14ac:dyDescent="0.2">
      <c r="A355" t="s">
        <v>404</v>
      </c>
      <c r="B355" t="s">
        <v>74</v>
      </c>
      <c r="C355" t="s">
        <v>29</v>
      </c>
      <c r="D355" t="s">
        <v>26</v>
      </c>
      <c r="E355">
        <v>524</v>
      </c>
      <c r="F355">
        <v>681.2</v>
      </c>
      <c r="G355">
        <v>286</v>
      </c>
      <c r="H355">
        <v>25</v>
      </c>
      <c r="I355" t="s">
        <v>43</v>
      </c>
      <c r="J355" s="1">
        <v>45830</v>
      </c>
      <c r="K355" s="1">
        <v>45878</v>
      </c>
      <c r="L355" t="s">
        <v>23</v>
      </c>
      <c r="M355">
        <f>tblInventory[[#This Row],[Unit Cost]]*tblInventory[[#This Row],[Quantity in Stock]]</f>
        <v>149864</v>
      </c>
    </row>
    <row r="356" spans="1:13" x14ac:dyDescent="0.2">
      <c r="A356" t="s">
        <v>405</v>
      </c>
      <c r="B356" t="s">
        <v>50</v>
      </c>
      <c r="C356" t="s">
        <v>34</v>
      </c>
      <c r="D356" t="s">
        <v>30</v>
      </c>
      <c r="E356">
        <v>433</v>
      </c>
      <c r="F356">
        <v>519.6</v>
      </c>
      <c r="G356">
        <v>176</v>
      </c>
      <c r="H356">
        <v>10</v>
      </c>
      <c r="I356" t="s">
        <v>43</v>
      </c>
      <c r="J356" s="1">
        <v>45741</v>
      </c>
      <c r="K356" s="1">
        <v>45816</v>
      </c>
      <c r="L356" t="s">
        <v>23</v>
      </c>
      <c r="M356">
        <f>tblInventory[[#This Row],[Unit Cost]]*tblInventory[[#This Row],[Quantity in Stock]]</f>
        <v>76208</v>
      </c>
    </row>
    <row r="357" spans="1:13" x14ac:dyDescent="0.2">
      <c r="A357" t="s">
        <v>406</v>
      </c>
      <c r="B357" t="s">
        <v>161</v>
      </c>
      <c r="C357" t="s">
        <v>34</v>
      </c>
      <c r="D357" t="s">
        <v>40</v>
      </c>
      <c r="E357">
        <v>191</v>
      </c>
      <c r="F357">
        <v>286.5</v>
      </c>
      <c r="G357">
        <v>126</v>
      </c>
      <c r="H357">
        <v>30</v>
      </c>
      <c r="I357" t="s">
        <v>31</v>
      </c>
      <c r="J357" s="1">
        <v>45866</v>
      </c>
      <c r="K357" s="1">
        <v>45866</v>
      </c>
      <c r="L357" t="s">
        <v>23</v>
      </c>
      <c r="M357">
        <f>tblInventory[[#This Row],[Unit Cost]]*tblInventory[[#This Row],[Quantity in Stock]]</f>
        <v>24066</v>
      </c>
    </row>
    <row r="358" spans="1:13" x14ac:dyDescent="0.2">
      <c r="A358" t="s">
        <v>407</v>
      </c>
      <c r="B358" t="s">
        <v>116</v>
      </c>
      <c r="C358" t="s">
        <v>22</v>
      </c>
      <c r="D358" t="s">
        <v>35</v>
      </c>
      <c r="E358">
        <v>677</v>
      </c>
      <c r="F358">
        <v>947.8</v>
      </c>
      <c r="G358">
        <v>179</v>
      </c>
      <c r="H358">
        <v>25</v>
      </c>
      <c r="I358" t="s">
        <v>43</v>
      </c>
      <c r="J358" s="1">
        <v>45712</v>
      </c>
      <c r="K358" s="1">
        <v>45722</v>
      </c>
      <c r="L358" t="s">
        <v>23</v>
      </c>
      <c r="M358">
        <f>tblInventory[[#This Row],[Unit Cost]]*tblInventory[[#This Row],[Quantity in Stock]]</f>
        <v>121183</v>
      </c>
    </row>
    <row r="359" spans="1:13" x14ac:dyDescent="0.2">
      <c r="A359" t="s">
        <v>408</v>
      </c>
      <c r="B359" t="s">
        <v>28</v>
      </c>
      <c r="C359" t="s">
        <v>29</v>
      </c>
      <c r="D359" t="s">
        <v>40</v>
      </c>
      <c r="E359">
        <v>10</v>
      </c>
      <c r="F359">
        <v>13</v>
      </c>
      <c r="G359">
        <v>127</v>
      </c>
      <c r="H359">
        <v>50</v>
      </c>
      <c r="I359" t="s">
        <v>31</v>
      </c>
      <c r="J359" s="1">
        <v>45755</v>
      </c>
      <c r="K359" s="1">
        <v>45843</v>
      </c>
      <c r="L359" t="s">
        <v>23</v>
      </c>
      <c r="M359">
        <f>tblInventory[[#This Row],[Unit Cost]]*tblInventory[[#This Row],[Quantity in Stock]]</f>
        <v>1270</v>
      </c>
    </row>
    <row r="360" spans="1:13" x14ac:dyDescent="0.2">
      <c r="A360" t="s">
        <v>409</v>
      </c>
      <c r="B360" t="s">
        <v>52</v>
      </c>
      <c r="C360" t="s">
        <v>22</v>
      </c>
      <c r="D360" t="s">
        <v>35</v>
      </c>
      <c r="E360">
        <v>293</v>
      </c>
      <c r="F360">
        <v>410.2</v>
      </c>
      <c r="G360">
        <v>185</v>
      </c>
      <c r="H360">
        <v>20</v>
      </c>
      <c r="I360" t="s">
        <v>43</v>
      </c>
      <c r="J360" s="1">
        <v>46164</v>
      </c>
      <c r="K360" s="1">
        <v>46230</v>
      </c>
      <c r="L360" t="s">
        <v>23</v>
      </c>
      <c r="M360">
        <f>tblInventory[[#This Row],[Unit Cost]]*tblInventory[[#This Row],[Quantity in Stock]]</f>
        <v>54205</v>
      </c>
    </row>
    <row r="361" spans="1:13" x14ac:dyDescent="0.2">
      <c r="A361" t="s">
        <v>410</v>
      </c>
      <c r="B361" t="s">
        <v>116</v>
      </c>
      <c r="C361" t="s">
        <v>22</v>
      </c>
      <c r="D361" t="s">
        <v>30</v>
      </c>
      <c r="E361">
        <v>356</v>
      </c>
      <c r="F361">
        <v>427.2</v>
      </c>
      <c r="G361">
        <v>82</v>
      </c>
      <c r="H361">
        <v>50</v>
      </c>
      <c r="I361" t="s">
        <v>31</v>
      </c>
      <c r="J361" s="1">
        <v>45786</v>
      </c>
      <c r="K361" s="1">
        <v>45850</v>
      </c>
      <c r="L361" t="s">
        <v>23</v>
      </c>
      <c r="M361">
        <f>tblInventory[[#This Row],[Unit Cost]]*tblInventory[[#This Row],[Quantity in Stock]]</f>
        <v>29192</v>
      </c>
    </row>
    <row r="362" spans="1:13" x14ac:dyDescent="0.2">
      <c r="A362" t="s">
        <v>411</v>
      </c>
      <c r="B362" t="s">
        <v>68</v>
      </c>
      <c r="C362" t="s">
        <v>34</v>
      </c>
      <c r="D362" t="s">
        <v>35</v>
      </c>
      <c r="E362">
        <v>274</v>
      </c>
      <c r="F362">
        <v>328.8</v>
      </c>
      <c r="G362">
        <v>100</v>
      </c>
      <c r="H362">
        <v>10</v>
      </c>
      <c r="I362" t="s">
        <v>43</v>
      </c>
      <c r="J362" s="1">
        <v>45993</v>
      </c>
      <c r="K362" s="1">
        <v>46065</v>
      </c>
      <c r="L362" t="s">
        <v>23</v>
      </c>
      <c r="M362">
        <f>tblInventory[[#This Row],[Unit Cost]]*tblInventory[[#This Row],[Quantity in Stock]]</f>
        <v>27400</v>
      </c>
    </row>
    <row r="363" spans="1:13" x14ac:dyDescent="0.2">
      <c r="A363" t="s">
        <v>412</v>
      </c>
      <c r="B363" t="s">
        <v>70</v>
      </c>
      <c r="C363" t="s">
        <v>14</v>
      </c>
      <c r="D363" t="s">
        <v>35</v>
      </c>
      <c r="E363">
        <v>90</v>
      </c>
      <c r="F363">
        <v>117</v>
      </c>
      <c r="G363">
        <v>49</v>
      </c>
      <c r="H363">
        <v>50</v>
      </c>
      <c r="I363" t="s">
        <v>16</v>
      </c>
      <c r="J363" s="1">
        <v>46049</v>
      </c>
      <c r="K363" s="1">
        <v>46093</v>
      </c>
      <c r="L363" t="s">
        <v>17</v>
      </c>
      <c r="M363">
        <f>tblInventory[[#This Row],[Unit Cost]]*tblInventory[[#This Row],[Quantity in Stock]]</f>
        <v>4410</v>
      </c>
    </row>
    <row r="364" spans="1:13" x14ac:dyDescent="0.2">
      <c r="A364" t="s">
        <v>413</v>
      </c>
      <c r="B364" t="s">
        <v>87</v>
      </c>
      <c r="C364" t="s">
        <v>29</v>
      </c>
      <c r="D364" t="s">
        <v>19</v>
      </c>
      <c r="E364">
        <v>647</v>
      </c>
      <c r="F364">
        <v>970.5</v>
      </c>
      <c r="G364">
        <v>24</v>
      </c>
      <c r="H364">
        <v>15</v>
      </c>
      <c r="I364" t="s">
        <v>16</v>
      </c>
      <c r="J364" s="1">
        <v>45801</v>
      </c>
      <c r="K364" s="1">
        <v>45849</v>
      </c>
      <c r="L364" t="s">
        <v>23</v>
      </c>
      <c r="M364">
        <f>tblInventory[[#This Row],[Unit Cost]]*tblInventory[[#This Row],[Quantity in Stock]]</f>
        <v>15528</v>
      </c>
    </row>
    <row r="365" spans="1:13" x14ac:dyDescent="0.2">
      <c r="A365" t="s">
        <v>414</v>
      </c>
      <c r="B365" t="s">
        <v>63</v>
      </c>
      <c r="C365" t="s">
        <v>22</v>
      </c>
      <c r="D365" t="s">
        <v>19</v>
      </c>
      <c r="E365">
        <v>39</v>
      </c>
      <c r="F365">
        <v>54.6</v>
      </c>
      <c r="G365">
        <v>28</v>
      </c>
      <c r="H365">
        <v>50</v>
      </c>
      <c r="I365" t="s">
        <v>43</v>
      </c>
      <c r="J365" s="1">
        <v>46162</v>
      </c>
      <c r="K365" s="1">
        <v>46223</v>
      </c>
      <c r="L365" t="s">
        <v>17</v>
      </c>
      <c r="M365">
        <f>tblInventory[[#This Row],[Unit Cost]]*tblInventory[[#This Row],[Quantity in Stock]]</f>
        <v>1092</v>
      </c>
    </row>
    <row r="366" spans="1:13" x14ac:dyDescent="0.2">
      <c r="A366" t="s">
        <v>415</v>
      </c>
      <c r="B366" t="s">
        <v>52</v>
      </c>
      <c r="C366" t="s">
        <v>22</v>
      </c>
      <c r="D366" t="s">
        <v>19</v>
      </c>
      <c r="E366">
        <v>197</v>
      </c>
      <c r="F366">
        <v>236.4</v>
      </c>
      <c r="G366">
        <v>154</v>
      </c>
      <c r="H366">
        <v>10</v>
      </c>
      <c r="I366" t="s">
        <v>43</v>
      </c>
      <c r="J366" s="1">
        <v>45863</v>
      </c>
      <c r="K366" s="1">
        <v>45871</v>
      </c>
      <c r="L366" t="s">
        <v>23</v>
      </c>
      <c r="M366">
        <f>tblInventory[[#This Row],[Unit Cost]]*tblInventory[[#This Row],[Quantity in Stock]]</f>
        <v>30338</v>
      </c>
    </row>
    <row r="367" spans="1:13" x14ac:dyDescent="0.2">
      <c r="A367" t="s">
        <v>416</v>
      </c>
      <c r="B367" t="s">
        <v>57</v>
      </c>
      <c r="C367" t="s">
        <v>29</v>
      </c>
      <c r="D367" t="s">
        <v>30</v>
      </c>
      <c r="E367">
        <v>144</v>
      </c>
      <c r="F367">
        <v>172.8</v>
      </c>
      <c r="G367">
        <v>150</v>
      </c>
      <c r="H367">
        <v>50</v>
      </c>
      <c r="I367" t="s">
        <v>16</v>
      </c>
      <c r="J367" s="1">
        <v>45772</v>
      </c>
      <c r="K367" s="1">
        <v>45843</v>
      </c>
      <c r="L367" t="s">
        <v>23</v>
      </c>
      <c r="M367">
        <f>tblInventory[[#This Row],[Unit Cost]]*tblInventory[[#This Row],[Quantity in Stock]]</f>
        <v>21600</v>
      </c>
    </row>
    <row r="368" spans="1:13" x14ac:dyDescent="0.2">
      <c r="A368" t="s">
        <v>417</v>
      </c>
      <c r="B368" t="s">
        <v>21</v>
      </c>
      <c r="C368" t="s">
        <v>22</v>
      </c>
      <c r="D368" t="s">
        <v>26</v>
      </c>
      <c r="E368">
        <v>238</v>
      </c>
      <c r="F368">
        <v>285.60000000000002</v>
      </c>
      <c r="G368">
        <v>148</v>
      </c>
      <c r="H368">
        <v>25</v>
      </c>
      <c r="I368" t="s">
        <v>31</v>
      </c>
      <c r="J368" s="1">
        <v>45888</v>
      </c>
      <c r="K368" s="1">
        <v>45977</v>
      </c>
      <c r="L368" t="s">
        <v>23</v>
      </c>
      <c r="M368">
        <f>tblInventory[[#This Row],[Unit Cost]]*tblInventory[[#This Row],[Quantity in Stock]]</f>
        <v>35224</v>
      </c>
    </row>
    <row r="369" spans="1:13" x14ac:dyDescent="0.2">
      <c r="A369" t="s">
        <v>418</v>
      </c>
      <c r="B369" t="s">
        <v>48</v>
      </c>
      <c r="C369" t="s">
        <v>14</v>
      </c>
      <c r="D369" t="s">
        <v>15</v>
      </c>
      <c r="E369">
        <v>272</v>
      </c>
      <c r="F369">
        <v>353.6</v>
      </c>
      <c r="G369">
        <v>282</v>
      </c>
      <c r="H369">
        <v>10</v>
      </c>
      <c r="I369" t="s">
        <v>31</v>
      </c>
      <c r="J369" s="1">
        <v>45889</v>
      </c>
      <c r="K369" s="1">
        <v>45904</v>
      </c>
      <c r="L369" t="s">
        <v>23</v>
      </c>
      <c r="M369">
        <f>tblInventory[[#This Row],[Unit Cost]]*tblInventory[[#This Row],[Quantity in Stock]]</f>
        <v>76704</v>
      </c>
    </row>
    <row r="370" spans="1:13" x14ac:dyDescent="0.2">
      <c r="A370" t="s">
        <v>419</v>
      </c>
      <c r="B370" t="s">
        <v>116</v>
      </c>
      <c r="C370" t="s">
        <v>22</v>
      </c>
      <c r="D370" t="s">
        <v>19</v>
      </c>
      <c r="E370">
        <v>81</v>
      </c>
      <c r="F370">
        <v>121.5</v>
      </c>
      <c r="G370">
        <v>284</v>
      </c>
      <c r="H370">
        <v>25</v>
      </c>
      <c r="I370" t="s">
        <v>43</v>
      </c>
      <c r="J370" s="1">
        <v>45961</v>
      </c>
      <c r="K370" s="1">
        <v>46003</v>
      </c>
      <c r="L370" t="s">
        <v>23</v>
      </c>
      <c r="M370">
        <f>tblInventory[[#This Row],[Unit Cost]]*tblInventory[[#This Row],[Quantity in Stock]]</f>
        <v>23004</v>
      </c>
    </row>
    <row r="371" spans="1:13" x14ac:dyDescent="0.2">
      <c r="A371" t="s">
        <v>420</v>
      </c>
      <c r="B371" t="s">
        <v>57</v>
      </c>
      <c r="C371" t="s">
        <v>29</v>
      </c>
      <c r="D371" t="s">
        <v>40</v>
      </c>
      <c r="E371">
        <v>187</v>
      </c>
      <c r="F371">
        <v>243.1</v>
      </c>
      <c r="G371">
        <v>24</v>
      </c>
      <c r="H371">
        <v>10</v>
      </c>
      <c r="I371" t="s">
        <v>31</v>
      </c>
      <c r="J371" s="1">
        <v>45958</v>
      </c>
      <c r="K371" s="1">
        <v>45961</v>
      </c>
      <c r="L371" t="s">
        <v>23</v>
      </c>
      <c r="M371">
        <f>tblInventory[[#This Row],[Unit Cost]]*tblInventory[[#This Row],[Quantity in Stock]]</f>
        <v>4488</v>
      </c>
    </row>
    <row r="372" spans="1:13" x14ac:dyDescent="0.2">
      <c r="A372" t="s">
        <v>421</v>
      </c>
      <c r="B372" t="s">
        <v>87</v>
      </c>
      <c r="C372" t="s">
        <v>29</v>
      </c>
      <c r="D372" t="s">
        <v>35</v>
      </c>
      <c r="E372">
        <v>574</v>
      </c>
      <c r="F372">
        <v>861</v>
      </c>
      <c r="G372">
        <v>48</v>
      </c>
      <c r="H372">
        <v>10</v>
      </c>
      <c r="I372" t="s">
        <v>16</v>
      </c>
      <c r="J372" s="1">
        <v>45669</v>
      </c>
      <c r="K372" s="1">
        <v>45759</v>
      </c>
      <c r="L372" t="s">
        <v>23</v>
      </c>
      <c r="M372">
        <f>tblInventory[[#This Row],[Unit Cost]]*tblInventory[[#This Row],[Quantity in Stock]]</f>
        <v>27552</v>
      </c>
    </row>
    <row r="373" spans="1:13" x14ac:dyDescent="0.2">
      <c r="A373" t="s">
        <v>422</v>
      </c>
      <c r="B373" t="s">
        <v>42</v>
      </c>
      <c r="C373" t="s">
        <v>34</v>
      </c>
      <c r="D373" t="s">
        <v>35</v>
      </c>
      <c r="E373">
        <v>148</v>
      </c>
      <c r="F373">
        <v>192.4</v>
      </c>
      <c r="G373">
        <v>93</v>
      </c>
      <c r="H373">
        <v>20</v>
      </c>
      <c r="I373" t="s">
        <v>43</v>
      </c>
      <c r="J373" s="1">
        <v>45744</v>
      </c>
      <c r="K373" s="1">
        <v>45754</v>
      </c>
      <c r="L373" t="s">
        <v>23</v>
      </c>
      <c r="M373">
        <f>tblInventory[[#This Row],[Unit Cost]]*tblInventory[[#This Row],[Quantity in Stock]]</f>
        <v>13764</v>
      </c>
    </row>
    <row r="374" spans="1:13" x14ac:dyDescent="0.2">
      <c r="A374" t="s">
        <v>423</v>
      </c>
      <c r="B374" t="s">
        <v>50</v>
      </c>
      <c r="C374" t="s">
        <v>34</v>
      </c>
      <c r="D374" t="s">
        <v>15</v>
      </c>
      <c r="E374">
        <v>10</v>
      </c>
      <c r="F374">
        <v>15</v>
      </c>
      <c r="G374">
        <v>297</v>
      </c>
      <c r="H374">
        <v>30</v>
      </c>
      <c r="I374" t="s">
        <v>43</v>
      </c>
      <c r="J374" s="1">
        <v>45959</v>
      </c>
      <c r="K374" s="1">
        <v>46034</v>
      </c>
      <c r="L374" t="s">
        <v>23</v>
      </c>
      <c r="M374">
        <f>tblInventory[[#This Row],[Unit Cost]]*tblInventory[[#This Row],[Quantity in Stock]]</f>
        <v>2970</v>
      </c>
    </row>
    <row r="375" spans="1:13" x14ac:dyDescent="0.2">
      <c r="A375" t="s">
        <v>424</v>
      </c>
      <c r="B375" t="s">
        <v>42</v>
      </c>
      <c r="C375" t="s">
        <v>34</v>
      </c>
      <c r="D375" t="s">
        <v>35</v>
      </c>
      <c r="E375">
        <v>440</v>
      </c>
      <c r="F375">
        <v>660</v>
      </c>
      <c r="G375">
        <v>58</v>
      </c>
      <c r="H375">
        <v>50</v>
      </c>
      <c r="I375" t="s">
        <v>43</v>
      </c>
      <c r="J375" s="1">
        <v>45823</v>
      </c>
      <c r="K375" s="1">
        <v>45839</v>
      </c>
      <c r="L375" t="s">
        <v>23</v>
      </c>
      <c r="M375">
        <f>tblInventory[[#This Row],[Unit Cost]]*tblInventory[[#This Row],[Quantity in Stock]]</f>
        <v>25520</v>
      </c>
    </row>
    <row r="376" spans="1:13" x14ac:dyDescent="0.2">
      <c r="A376" t="s">
        <v>425</v>
      </c>
      <c r="B376" t="s">
        <v>13</v>
      </c>
      <c r="C376" t="s">
        <v>14</v>
      </c>
      <c r="D376" t="s">
        <v>19</v>
      </c>
      <c r="E376">
        <v>104</v>
      </c>
      <c r="F376">
        <v>145.6</v>
      </c>
      <c r="G376">
        <v>24</v>
      </c>
      <c r="H376">
        <v>10</v>
      </c>
      <c r="I376" t="s">
        <v>31</v>
      </c>
      <c r="J376" s="1">
        <v>45971</v>
      </c>
      <c r="K376" s="1">
        <v>46010</v>
      </c>
      <c r="L376" t="s">
        <v>23</v>
      </c>
      <c r="M376">
        <f>tblInventory[[#This Row],[Unit Cost]]*tblInventory[[#This Row],[Quantity in Stock]]</f>
        <v>2496</v>
      </c>
    </row>
    <row r="377" spans="1:13" x14ac:dyDescent="0.2">
      <c r="A377" t="s">
        <v>426</v>
      </c>
      <c r="B377" t="s">
        <v>48</v>
      </c>
      <c r="C377" t="s">
        <v>14</v>
      </c>
      <c r="D377" t="s">
        <v>30</v>
      </c>
      <c r="E377">
        <v>560</v>
      </c>
      <c r="F377">
        <v>840</v>
      </c>
      <c r="G377">
        <v>211</v>
      </c>
      <c r="H377">
        <v>40</v>
      </c>
      <c r="I377" t="s">
        <v>16</v>
      </c>
      <c r="J377" s="1">
        <v>46154</v>
      </c>
      <c r="K377" s="1">
        <v>46228</v>
      </c>
      <c r="L377" t="s">
        <v>23</v>
      </c>
      <c r="M377">
        <f>tblInventory[[#This Row],[Unit Cost]]*tblInventory[[#This Row],[Quantity in Stock]]</f>
        <v>118160</v>
      </c>
    </row>
    <row r="378" spans="1:13" x14ac:dyDescent="0.2">
      <c r="A378" t="s">
        <v>427</v>
      </c>
      <c r="B378" t="s">
        <v>33</v>
      </c>
      <c r="C378" t="s">
        <v>34</v>
      </c>
      <c r="D378" t="s">
        <v>40</v>
      </c>
      <c r="E378">
        <v>497</v>
      </c>
      <c r="F378">
        <v>646.1</v>
      </c>
      <c r="G378">
        <v>150</v>
      </c>
      <c r="H378">
        <v>30</v>
      </c>
      <c r="I378" t="s">
        <v>16</v>
      </c>
      <c r="J378" s="1">
        <v>45790</v>
      </c>
      <c r="K378" s="1">
        <v>45820</v>
      </c>
      <c r="L378" t="s">
        <v>23</v>
      </c>
      <c r="M378">
        <f>tblInventory[[#This Row],[Unit Cost]]*tblInventory[[#This Row],[Quantity in Stock]]</f>
        <v>74550</v>
      </c>
    </row>
    <row r="379" spans="1:13" x14ac:dyDescent="0.2">
      <c r="A379" t="s">
        <v>428</v>
      </c>
      <c r="B379" t="s">
        <v>25</v>
      </c>
      <c r="C379" t="s">
        <v>14</v>
      </c>
      <c r="D379" t="s">
        <v>15</v>
      </c>
      <c r="E379">
        <v>215</v>
      </c>
      <c r="F379">
        <v>322.5</v>
      </c>
      <c r="G379">
        <v>113</v>
      </c>
      <c r="H379">
        <v>30</v>
      </c>
      <c r="I379" t="s">
        <v>31</v>
      </c>
      <c r="J379" s="1">
        <v>46104</v>
      </c>
      <c r="K379" s="1">
        <v>46194</v>
      </c>
      <c r="L379" t="s">
        <v>23</v>
      </c>
      <c r="M379">
        <f>tblInventory[[#This Row],[Unit Cost]]*tblInventory[[#This Row],[Quantity in Stock]]</f>
        <v>24295</v>
      </c>
    </row>
    <row r="380" spans="1:13" x14ac:dyDescent="0.2">
      <c r="A380" t="s">
        <v>429</v>
      </c>
      <c r="B380" t="s">
        <v>28</v>
      </c>
      <c r="C380" t="s">
        <v>29</v>
      </c>
      <c r="D380" t="s">
        <v>19</v>
      </c>
      <c r="E380">
        <v>358</v>
      </c>
      <c r="F380">
        <v>501.2</v>
      </c>
      <c r="G380">
        <v>214</v>
      </c>
      <c r="H380">
        <v>50</v>
      </c>
      <c r="I380" t="s">
        <v>16</v>
      </c>
      <c r="J380" s="1">
        <v>45881</v>
      </c>
      <c r="K380" s="1">
        <v>45891</v>
      </c>
      <c r="L380" t="s">
        <v>23</v>
      </c>
      <c r="M380">
        <f>tblInventory[[#This Row],[Unit Cost]]*tblInventory[[#This Row],[Quantity in Stock]]</f>
        <v>76612</v>
      </c>
    </row>
    <row r="381" spans="1:13" x14ac:dyDescent="0.2">
      <c r="A381" t="s">
        <v>430</v>
      </c>
      <c r="B381" t="s">
        <v>74</v>
      </c>
      <c r="C381" t="s">
        <v>29</v>
      </c>
      <c r="D381" t="s">
        <v>30</v>
      </c>
      <c r="E381">
        <v>56</v>
      </c>
      <c r="F381">
        <v>72.8</v>
      </c>
      <c r="G381">
        <v>256</v>
      </c>
      <c r="H381">
        <v>30</v>
      </c>
      <c r="I381" t="s">
        <v>31</v>
      </c>
      <c r="J381" s="1">
        <v>45905</v>
      </c>
      <c r="K381" s="1">
        <v>45944</v>
      </c>
      <c r="L381" t="s">
        <v>23</v>
      </c>
      <c r="M381">
        <f>tblInventory[[#This Row],[Unit Cost]]*tblInventory[[#This Row],[Quantity in Stock]]</f>
        <v>14336</v>
      </c>
    </row>
    <row r="382" spans="1:13" x14ac:dyDescent="0.2">
      <c r="A382" t="s">
        <v>431</v>
      </c>
      <c r="B382" t="s">
        <v>57</v>
      </c>
      <c r="C382" t="s">
        <v>29</v>
      </c>
      <c r="D382" t="s">
        <v>40</v>
      </c>
      <c r="E382">
        <v>353</v>
      </c>
      <c r="F382">
        <v>423.6</v>
      </c>
      <c r="G382">
        <v>252</v>
      </c>
      <c r="H382">
        <v>25</v>
      </c>
      <c r="I382" t="s">
        <v>31</v>
      </c>
      <c r="J382" s="1">
        <v>45952</v>
      </c>
      <c r="K382" s="1">
        <v>45982</v>
      </c>
      <c r="L382" t="s">
        <v>23</v>
      </c>
      <c r="M382">
        <f>tblInventory[[#This Row],[Unit Cost]]*tblInventory[[#This Row],[Quantity in Stock]]</f>
        <v>88956</v>
      </c>
    </row>
    <row r="383" spans="1:13" x14ac:dyDescent="0.2">
      <c r="A383" t="s">
        <v>432</v>
      </c>
      <c r="B383" t="s">
        <v>87</v>
      </c>
      <c r="C383" t="s">
        <v>29</v>
      </c>
      <c r="D383" t="s">
        <v>40</v>
      </c>
      <c r="E383">
        <v>23</v>
      </c>
      <c r="F383">
        <v>34.5</v>
      </c>
      <c r="G383">
        <v>112</v>
      </c>
      <c r="H383">
        <v>20</v>
      </c>
      <c r="I383" t="s">
        <v>43</v>
      </c>
      <c r="J383" s="1">
        <v>45735</v>
      </c>
      <c r="K383" s="1">
        <v>45759</v>
      </c>
      <c r="L383" t="s">
        <v>23</v>
      </c>
      <c r="M383">
        <f>tblInventory[[#This Row],[Unit Cost]]*tblInventory[[#This Row],[Quantity in Stock]]</f>
        <v>2576</v>
      </c>
    </row>
    <row r="384" spans="1:13" x14ac:dyDescent="0.2">
      <c r="A384" t="s">
        <v>433</v>
      </c>
      <c r="B384" t="s">
        <v>33</v>
      </c>
      <c r="C384" t="s">
        <v>34</v>
      </c>
      <c r="D384" t="s">
        <v>30</v>
      </c>
      <c r="E384">
        <v>88</v>
      </c>
      <c r="F384">
        <v>132</v>
      </c>
      <c r="G384">
        <v>60</v>
      </c>
      <c r="H384">
        <v>30</v>
      </c>
      <c r="I384" t="s">
        <v>31</v>
      </c>
      <c r="J384" s="1">
        <v>45658</v>
      </c>
      <c r="K384" s="1">
        <v>45728</v>
      </c>
      <c r="L384" t="s">
        <v>23</v>
      </c>
      <c r="M384">
        <f>tblInventory[[#This Row],[Unit Cost]]*tblInventory[[#This Row],[Quantity in Stock]]</f>
        <v>5280</v>
      </c>
    </row>
    <row r="385" spans="1:13" x14ac:dyDescent="0.2">
      <c r="A385" t="s">
        <v>434</v>
      </c>
      <c r="B385" t="s">
        <v>68</v>
      </c>
      <c r="C385" t="s">
        <v>34</v>
      </c>
      <c r="D385" t="s">
        <v>35</v>
      </c>
      <c r="E385">
        <v>163</v>
      </c>
      <c r="F385">
        <v>244.5</v>
      </c>
      <c r="G385">
        <v>6</v>
      </c>
      <c r="H385">
        <v>40</v>
      </c>
      <c r="I385" t="s">
        <v>31</v>
      </c>
      <c r="J385" s="1">
        <v>46092</v>
      </c>
      <c r="K385" s="1">
        <v>46155</v>
      </c>
      <c r="L385" t="s">
        <v>17</v>
      </c>
      <c r="M385">
        <f>tblInventory[[#This Row],[Unit Cost]]*tblInventory[[#This Row],[Quantity in Stock]]</f>
        <v>978</v>
      </c>
    </row>
    <row r="386" spans="1:13" x14ac:dyDescent="0.2">
      <c r="A386" t="s">
        <v>435</v>
      </c>
      <c r="B386" t="s">
        <v>21</v>
      </c>
      <c r="C386" t="s">
        <v>22</v>
      </c>
      <c r="D386" t="s">
        <v>19</v>
      </c>
      <c r="E386">
        <v>79</v>
      </c>
      <c r="F386">
        <v>94.8</v>
      </c>
      <c r="G386">
        <v>165</v>
      </c>
      <c r="H386">
        <v>25</v>
      </c>
      <c r="I386" t="s">
        <v>31</v>
      </c>
      <c r="J386" s="1">
        <v>45745</v>
      </c>
      <c r="K386" s="1">
        <v>45774</v>
      </c>
      <c r="L386" t="s">
        <v>23</v>
      </c>
      <c r="M386">
        <f>tblInventory[[#This Row],[Unit Cost]]*tblInventory[[#This Row],[Quantity in Stock]]</f>
        <v>13035</v>
      </c>
    </row>
    <row r="387" spans="1:13" x14ac:dyDescent="0.2">
      <c r="A387" t="s">
        <v>436</v>
      </c>
      <c r="B387" t="s">
        <v>63</v>
      </c>
      <c r="C387" t="s">
        <v>22</v>
      </c>
      <c r="D387" t="s">
        <v>15</v>
      </c>
      <c r="E387">
        <v>695</v>
      </c>
      <c r="F387">
        <v>903.5</v>
      </c>
      <c r="G387">
        <v>67</v>
      </c>
      <c r="H387">
        <v>50</v>
      </c>
      <c r="I387" t="s">
        <v>31</v>
      </c>
      <c r="J387" s="1">
        <v>46170</v>
      </c>
      <c r="K387" s="1">
        <v>46211</v>
      </c>
      <c r="L387" t="s">
        <v>23</v>
      </c>
      <c r="M387">
        <f>tblInventory[[#This Row],[Unit Cost]]*tblInventory[[#This Row],[Quantity in Stock]]</f>
        <v>46565</v>
      </c>
    </row>
    <row r="388" spans="1:13" x14ac:dyDescent="0.2">
      <c r="A388" t="s">
        <v>437</v>
      </c>
      <c r="B388" t="s">
        <v>161</v>
      </c>
      <c r="C388" t="s">
        <v>34</v>
      </c>
      <c r="D388" t="s">
        <v>35</v>
      </c>
      <c r="E388">
        <v>405</v>
      </c>
      <c r="F388">
        <v>526.5</v>
      </c>
      <c r="G388">
        <v>192</v>
      </c>
      <c r="H388">
        <v>20</v>
      </c>
      <c r="I388" t="s">
        <v>16</v>
      </c>
      <c r="J388" s="1">
        <v>45663</v>
      </c>
      <c r="K388" s="1">
        <v>45720</v>
      </c>
      <c r="L388" t="s">
        <v>23</v>
      </c>
      <c r="M388">
        <f>tblInventory[[#This Row],[Unit Cost]]*tblInventory[[#This Row],[Quantity in Stock]]</f>
        <v>77760</v>
      </c>
    </row>
    <row r="389" spans="1:13" x14ac:dyDescent="0.2">
      <c r="A389" t="s">
        <v>438</v>
      </c>
      <c r="B389" t="s">
        <v>48</v>
      </c>
      <c r="C389" t="s">
        <v>14</v>
      </c>
      <c r="D389" t="s">
        <v>40</v>
      </c>
      <c r="E389">
        <v>119</v>
      </c>
      <c r="F389">
        <v>142.80000000000001</v>
      </c>
      <c r="G389">
        <v>153</v>
      </c>
      <c r="H389">
        <v>25</v>
      </c>
      <c r="I389" t="s">
        <v>31</v>
      </c>
      <c r="J389" s="1">
        <v>46009</v>
      </c>
      <c r="K389" s="1">
        <v>46090</v>
      </c>
      <c r="L389" t="s">
        <v>23</v>
      </c>
      <c r="M389">
        <f>tblInventory[[#This Row],[Unit Cost]]*tblInventory[[#This Row],[Quantity in Stock]]</f>
        <v>18207</v>
      </c>
    </row>
    <row r="390" spans="1:13" x14ac:dyDescent="0.2">
      <c r="A390" t="s">
        <v>439</v>
      </c>
      <c r="B390" t="s">
        <v>63</v>
      </c>
      <c r="C390" t="s">
        <v>22</v>
      </c>
      <c r="D390" t="s">
        <v>40</v>
      </c>
      <c r="E390">
        <v>637</v>
      </c>
      <c r="F390">
        <v>764.4</v>
      </c>
      <c r="G390">
        <v>228</v>
      </c>
      <c r="H390">
        <v>10</v>
      </c>
      <c r="I390" t="s">
        <v>43</v>
      </c>
      <c r="J390" s="1">
        <v>46047</v>
      </c>
      <c r="K390" s="1">
        <v>46113</v>
      </c>
      <c r="L390" t="s">
        <v>23</v>
      </c>
      <c r="M390">
        <f>tblInventory[[#This Row],[Unit Cost]]*tblInventory[[#This Row],[Quantity in Stock]]</f>
        <v>145236</v>
      </c>
    </row>
    <row r="391" spans="1:13" x14ac:dyDescent="0.2">
      <c r="A391" t="s">
        <v>440</v>
      </c>
      <c r="B391" t="s">
        <v>104</v>
      </c>
      <c r="C391" t="s">
        <v>29</v>
      </c>
      <c r="D391" t="s">
        <v>35</v>
      </c>
      <c r="E391">
        <v>183</v>
      </c>
      <c r="F391">
        <v>256.2</v>
      </c>
      <c r="G391">
        <v>162</v>
      </c>
      <c r="H391">
        <v>50</v>
      </c>
      <c r="I391" t="s">
        <v>31</v>
      </c>
      <c r="J391" s="1">
        <v>45996</v>
      </c>
      <c r="K391" s="1">
        <v>46070</v>
      </c>
      <c r="L391" t="s">
        <v>23</v>
      </c>
      <c r="M391">
        <f>tblInventory[[#This Row],[Unit Cost]]*tblInventory[[#This Row],[Quantity in Stock]]</f>
        <v>29646</v>
      </c>
    </row>
    <row r="392" spans="1:13" x14ac:dyDescent="0.2">
      <c r="A392" t="s">
        <v>441</v>
      </c>
      <c r="B392" t="s">
        <v>104</v>
      </c>
      <c r="C392" t="s">
        <v>29</v>
      </c>
      <c r="D392" t="s">
        <v>35</v>
      </c>
      <c r="E392">
        <v>21</v>
      </c>
      <c r="F392">
        <v>31.5</v>
      </c>
      <c r="G392">
        <v>258</v>
      </c>
      <c r="H392">
        <v>15</v>
      </c>
      <c r="I392" t="s">
        <v>16</v>
      </c>
      <c r="J392" s="1">
        <v>46073</v>
      </c>
      <c r="K392" s="1">
        <v>46158</v>
      </c>
      <c r="L392" t="s">
        <v>23</v>
      </c>
      <c r="M392">
        <f>tblInventory[[#This Row],[Unit Cost]]*tblInventory[[#This Row],[Quantity in Stock]]</f>
        <v>5418</v>
      </c>
    </row>
    <row r="393" spans="1:13" x14ac:dyDescent="0.2">
      <c r="A393" t="s">
        <v>442</v>
      </c>
      <c r="B393" t="s">
        <v>46</v>
      </c>
      <c r="C393" t="s">
        <v>14</v>
      </c>
      <c r="D393" t="s">
        <v>30</v>
      </c>
      <c r="E393">
        <v>210</v>
      </c>
      <c r="F393">
        <v>294</v>
      </c>
      <c r="G393">
        <v>43</v>
      </c>
      <c r="H393">
        <v>10</v>
      </c>
      <c r="I393" t="s">
        <v>16</v>
      </c>
      <c r="J393" s="1">
        <v>45728</v>
      </c>
      <c r="K393" s="1">
        <v>45733</v>
      </c>
      <c r="L393" t="s">
        <v>23</v>
      </c>
      <c r="M393">
        <f>tblInventory[[#This Row],[Unit Cost]]*tblInventory[[#This Row],[Quantity in Stock]]</f>
        <v>9030</v>
      </c>
    </row>
    <row r="394" spans="1:13" x14ac:dyDescent="0.2">
      <c r="A394" t="s">
        <v>443</v>
      </c>
      <c r="B394" t="s">
        <v>42</v>
      </c>
      <c r="C394" t="s">
        <v>34</v>
      </c>
      <c r="D394" t="s">
        <v>35</v>
      </c>
      <c r="E394">
        <v>316</v>
      </c>
      <c r="F394">
        <v>410.8</v>
      </c>
      <c r="G394">
        <v>52</v>
      </c>
      <c r="H394">
        <v>10</v>
      </c>
      <c r="I394" t="s">
        <v>16</v>
      </c>
      <c r="J394" s="1">
        <v>46070</v>
      </c>
      <c r="K394" s="1">
        <v>46084</v>
      </c>
      <c r="L394" t="s">
        <v>23</v>
      </c>
      <c r="M394">
        <f>tblInventory[[#This Row],[Unit Cost]]*tblInventory[[#This Row],[Quantity in Stock]]</f>
        <v>16432</v>
      </c>
    </row>
    <row r="395" spans="1:13" x14ac:dyDescent="0.2">
      <c r="A395" t="s">
        <v>444</v>
      </c>
      <c r="B395" t="s">
        <v>37</v>
      </c>
      <c r="C395" t="s">
        <v>22</v>
      </c>
      <c r="D395" t="s">
        <v>15</v>
      </c>
      <c r="E395">
        <v>204</v>
      </c>
      <c r="F395">
        <v>285.60000000000002</v>
      </c>
      <c r="G395">
        <v>9</v>
      </c>
      <c r="H395">
        <v>30</v>
      </c>
      <c r="I395" t="s">
        <v>16</v>
      </c>
      <c r="J395" s="1">
        <v>46158</v>
      </c>
      <c r="K395" s="1">
        <v>46222</v>
      </c>
      <c r="L395" t="s">
        <v>17</v>
      </c>
      <c r="M395">
        <f>tblInventory[[#This Row],[Unit Cost]]*tblInventory[[#This Row],[Quantity in Stock]]</f>
        <v>1836</v>
      </c>
    </row>
    <row r="396" spans="1:13" x14ac:dyDescent="0.2">
      <c r="A396" t="s">
        <v>445</v>
      </c>
      <c r="B396" t="s">
        <v>48</v>
      </c>
      <c r="C396" t="s">
        <v>14</v>
      </c>
      <c r="D396" t="s">
        <v>15</v>
      </c>
      <c r="E396">
        <v>460</v>
      </c>
      <c r="F396">
        <v>690</v>
      </c>
      <c r="G396">
        <v>0</v>
      </c>
      <c r="H396">
        <v>40</v>
      </c>
      <c r="I396" t="s">
        <v>43</v>
      </c>
      <c r="J396" s="1">
        <v>46061</v>
      </c>
      <c r="K396" s="1">
        <v>46144</v>
      </c>
      <c r="L396" t="s">
        <v>323</v>
      </c>
      <c r="M396">
        <f>tblInventory[[#This Row],[Unit Cost]]*tblInventory[[#This Row],[Quantity in Stock]]</f>
        <v>0</v>
      </c>
    </row>
    <row r="397" spans="1:13" x14ac:dyDescent="0.2">
      <c r="A397" t="s">
        <v>446</v>
      </c>
      <c r="B397" t="s">
        <v>57</v>
      </c>
      <c r="C397" t="s">
        <v>29</v>
      </c>
      <c r="D397" t="s">
        <v>26</v>
      </c>
      <c r="E397">
        <v>560</v>
      </c>
      <c r="F397">
        <v>840</v>
      </c>
      <c r="G397">
        <v>281</v>
      </c>
      <c r="H397">
        <v>50</v>
      </c>
      <c r="I397" t="s">
        <v>16</v>
      </c>
      <c r="J397" s="1">
        <v>45695</v>
      </c>
      <c r="K397" s="1">
        <v>45697</v>
      </c>
      <c r="L397" t="s">
        <v>23</v>
      </c>
      <c r="M397">
        <f>tblInventory[[#This Row],[Unit Cost]]*tblInventory[[#This Row],[Quantity in Stock]]</f>
        <v>157360</v>
      </c>
    </row>
    <row r="398" spans="1:13" x14ac:dyDescent="0.2">
      <c r="A398" t="s">
        <v>447</v>
      </c>
      <c r="B398" t="s">
        <v>60</v>
      </c>
      <c r="C398" t="s">
        <v>34</v>
      </c>
      <c r="D398" t="s">
        <v>19</v>
      </c>
      <c r="E398">
        <v>380</v>
      </c>
      <c r="F398">
        <v>456</v>
      </c>
      <c r="G398">
        <v>244</v>
      </c>
      <c r="H398">
        <v>20</v>
      </c>
      <c r="I398" t="s">
        <v>16</v>
      </c>
      <c r="J398" s="1">
        <v>46011</v>
      </c>
      <c r="K398" s="1">
        <v>46058</v>
      </c>
      <c r="L398" t="s">
        <v>23</v>
      </c>
      <c r="M398">
        <f>tblInventory[[#This Row],[Unit Cost]]*tblInventory[[#This Row],[Quantity in Stock]]</f>
        <v>92720</v>
      </c>
    </row>
    <row r="399" spans="1:13" x14ac:dyDescent="0.2">
      <c r="A399" t="s">
        <v>448</v>
      </c>
      <c r="B399" t="s">
        <v>28</v>
      </c>
      <c r="C399" t="s">
        <v>29</v>
      </c>
      <c r="D399" t="s">
        <v>35</v>
      </c>
      <c r="E399">
        <v>243</v>
      </c>
      <c r="F399">
        <v>315.89999999999998</v>
      </c>
      <c r="G399">
        <v>207</v>
      </c>
      <c r="H399">
        <v>10</v>
      </c>
      <c r="I399" t="s">
        <v>43</v>
      </c>
      <c r="J399" s="1">
        <v>45853</v>
      </c>
      <c r="K399" s="1">
        <v>45910</v>
      </c>
      <c r="L399" t="s">
        <v>23</v>
      </c>
      <c r="M399">
        <f>tblInventory[[#This Row],[Unit Cost]]*tblInventory[[#This Row],[Quantity in Stock]]</f>
        <v>50301</v>
      </c>
    </row>
    <row r="400" spans="1:13" x14ac:dyDescent="0.2">
      <c r="A400" t="s">
        <v>449</v>
      </c>
      <c r="B400" t="s">
        <v>65</v>
      </c>
      <c r="C400" t="s">
        <v>22</v>
      </c>
      <c r="D400" t="s">
        <v>15</v>
      </c>
      <c r="E400">
        <v>42</v>
      </c>
      <c r="F400">
        <v>63</v>
      </c>
      <c r="G400">
        <v>270</v>
      </c>
      <c r="H400">
        <v>20</v>
      </c>
      <c r="I400" t="s">
        <v>43</v>
      </c>
      <c r="J400" s="1">
        <v>45694</v>
      </c>
      <c r="K400" s="1">
        <v>45705</v>
      </c>
      <c r="L400" t="s">
        <v>23</v>
      </c>
      <c r="M400">
        <f>tblInventory[[#This Row],[Unit Cost]]*tblInventory[[#This Row],[Quantity in Stock]]</f>
        <v>11340</v>
      </c>
    </row>
    <row r="401" spans="1:13" x14ac:dyDescent="0.2">
      <c r="A401" t="s">
        <v>450</v>
      </c>
      <c r="B401" t="s">
        <v>104</v>
      </c>
      <c r="C401" t="s">
        <v>29</v>
      </c>
      <c r="D401" t="s">
        <v>19</v>
      </c>
      <c r="E401">
        <v>482</v>
      </c>
      <c r="F401">
        <v>626.6</v>
      </c>
      <c r="G401">
        <v>231</v>
      </c>
      <c r="H401">
        <v>50</v>
      </c>
      <c r="I401" t="s">
        <v>43</v>
      </c>
      <c r="J401" s="1">
        <v>46147</v>
      </c>
      <c r="K401" s="1">
        <v>46170</v>
      </c>
      <c r="L401" t="s">
        <v>23</v>
      </c>
      <c r="M401">
        <f>tblInventory[[#This Row],[Unit Cost]]*tblInventory[[#This Row],[Quantity in Stock]]</f>
        <v>111342</v>
      </c>
    </row>
    <row r="402" spans="1:13" x14ac:dyDescent="0.2">
      <c r="A402" t="s">
        <v>451</v>
      </c>
      <c r="B402" t="s">
        <v>46</v>
      </c>
      <c r="C402" t="s">
        <v>14</v>
      </c>
      <c r="D402" t="s">
        <v>19</v>
      </c>
      <c r="E402">
        <v>221</v>
      </c>
      <c r="F402">
        <v>265.2</v>
      </c>
      <c r="G402">
        <v>252</v>
      </c>
      <c r="H402">
        <v>15</v>
      </c>
      <c r="I402" t="s">
        <v>16</v>
      </c>
      <c r="J402" s="1">
        <v>46052</v>
      </c>
      <c r="K402" s="1">
        <v>46099</v>
      </c>
      <c r="L402" t="s">
        <v>23</v>
      </c>
      <c r="M402">
        <f>tblInventory[[#This Row],[Unit Cost]]*tblInventory[[#This Row],[Quantity in Stock]]</f>
        <v>55692</v>
      </c>
    </row>
    <row r="403" spans="1:13" x14ac:dyDescent="0.2">
      <c r="A403" t="s">
        <v>452</v>
      </c>
      <c r="B403" t="s">
        <v>25</v>
      </c>
      <c r="C403" t="s">
        <v>14</v>
      </c>
      <c r="D403" t="s">
        <v>30</v>
      </c>
      <c r="E403">
        <v>260</v>
      </c>
      <c r="F403">
        <v>312</v>
      </c>
      <c r="G403">
        <v>126</v>
      </c>
      <c r="H403">
        <v>25</v>
      </c>
      <c r="I403" t="s">
        <v>31</v>
      </c>
      <c r="J403" s="1">
        <v>45816</v>
      </c>
      <c r="K403" s="1">
        <v>45818</v>
      </c>
      <c r="L403" t="s">
        <v>23</v>
      </c>
      <c r="M403">
        <f>tblInventory[[#This Row],[Unit Cost]]*tblInventory[[#This Row],[Quantity in Stock]]</f>
        <v>32760</v>
      </c>
    </row>
    <row r="404" spans="1:13" x14ac:dyDescent="0.2">
      <c r="A404" t="s">
        <v>453</v>
      </c>
      <c r="B404" t="s">
        <v>104</v>
      </c>
      <c r="C404" t="s">
        <v>29</v>
      </c>
      <c r="D404" t="s">
        <v>30</v>
      </c>
      <c r="E404">
        <v>97</v>
      </c>
      <c r="F404">
        <v>135.80000000000001</v>
      </c>
      <c r="G404">
        <v>54</v>
      </c>
      <c r="H404">
        <v>30</v>
      </c>
      <c r="I404" t="s">
        <v>16</v>
      </c>
      <c r="J404" s="1">
        <v>45971</v>
      </c>
      <c r="K404" s="1">
        <v>45993</v>
      </c>
      <c r="L404" t="s">
        <v>23</v>
      </c>
      <c r="M404">
        <f>tblInventory[[#This Row],[Unit Cost]]*tblInventory[[#This Row],[Quantity in Stock]]</f>
        <v>5238</v>
      </c>
    </row>
    <row r="405" spans="1:13" x14ac:dyDescent="0.2">
      <c r="A405" t="s">
        <v>454</v>
      </c>
      <c r="B405" t="s">
        <v>63</v>
      </c>
      <c r="C405" t="s">
        <v>22</v>
      </c>
      <c r="D405" t="s">
        <v>30</v>
      </c>
      <c r="E405">
        <v>267</v>
      </c>
      <c r="F405">
        <v>400.5</v>
      </c>
      <c r="G405">
        <v>274</v>
      </c>
      <c r="H405">
        <v>50</v>
      </c>
      <c r="I405" t="s">
        <v>16</v>
      </c>
      <c r="J405" s="1">
        <v>45914</v>
      </c>
      <c r="K405" s="1">
        <v>45994</v>
      </c>
      <c r="L405" t="s">
        <v>23</v>
      </c>
      <c r="M405">
        <f>tblInventory[[#This Row],[Unit Cost]]*tblInventory[[#This Row],[Quantity in Stock]]</f>
        <v>73158</v>
      </c>
    </row>
    <row r="406" spans="1:13" x14ac:dyDescent="0.2">
      <c r="A406" t="s">
        <v>455</v>
      </c>
      <c r="B406" t="s">
        <v>60</v>
      </c>
      <c r="C406" t="s">
        <v>34</v>
      </c>
      <c r="D406" t="s">
        <v>40</v>
      </c>
      <c r="E406">
        <v>477</v>
      </c>
      <c r="F406">
        <v>572.4</v>
      </c>
      <c r="G406">
        <v>188</v>
      </c>
      <c r="H406">
        <v>25</v>
      </c>
      <c r="I406" t="s">
        <v>16</v>
      </c>
      <c r="J406" s="1">
        <v>46132</v>
      </c>
      <c r="K406" s="1">
        <v>46139</v>
      </c>
      <c r="L406" t="s">
        <v>23</v>
      </c>
      <c r="M406">
        <f>tblInventory[[#This Row],[Unit Cost]]*tblInventory[[#This Row],[Quantity in Stock]]</f>
        <v>89676</v>
      </c>
    </row>
    <row r="407" spans="1:13" x14ac:dyDescent="0.2">
      <c r="A407" t="s">
        <v>456</v>
      </c>
      <c r="B407" t="s">
        <v>25</v>
      </c>
      <c r="C407" t="s">
        <v>14</v>
      </c>
      <c r="D407" t="s">
        <v>15</v>
      </c>
      <c r="E407">
        <v>353</v>
      </c>
      <c r="F407">
        <v>494.2</v>
      </c>
      <c r="G407">
        <v>299</v>
      </c>
      <c r="H407">
        <v>10</v>
      </c>
      <c r="I407" t="s">
        <v>16</v>
      </c>
      <c r="J407" s="1">
        <v>45680</v>
      </c>
      <c r="K407" s="1">
        <v>45691</v>
      </c>
      <c r="L407" t="s">
        <v>23</v>
      </c>
      <c r="M407">
        <f>tblInventory[[#This Row],[Unit Cost]]*tblInventory[[#This Row],[Quantity in Stock]]</f>
        <v>105547</v>
      </c>
    </row>
    <row r="408" spans="1:13" x14ac:dyDescent="0.2">
      <c r="A408" t="s">
        <v>457</v>
      </c>
      <c r="B408" t="s">
        <v>25</v>
      </c>
      <c r="C408" t="s">
        <v>14</v>
      </c>
      <c r="D408" t="s">
        <v>30</v>
      </c>
      <c r="E408">
        <v>557</v>
      </c>
      <c r="F408">
        <v>668.4</v>
      </c>
      <c r="G408">
        <v>7</v>
      </c>
      <c r="H408">
        <v>40</v>
      </c>
      <c r="I408" t="s">
        <v>43</v>
      </c>
      <c r="J408" s="1">
        <v>45778</v>
      </c>
      <c r="K408" s="1">
        <v>45816</v>
      </c>
      <c r="L408" t="s">
        <v>17</v>
      </c>
      <c r="M408">
        <f>tblInventory[[#This Row],[Unit Cost]]*tblInventory[[#This Row],[Quantity in Stock]]</f>
        <v>3899</v>
      </c>
    </row>
    <row r="409" spans="1:13" x14ac:dyDescent="0.2">
      <c r="A409" t="s">
        <v>458</v>
      </c>
      <c r="B409" t="s">
        <v>116</v>
      </c>
      <c r="C409" t="s">
        <v>22</v>
      </c>
      <c r="D409" t="s">
        <v>30</v>
      </c>
      <c r="E409">
        <v>385</v>
      </c>
      <c r="F409">
        <v>500.5</v>
      </c>
      <c r="G409">
        <v>188</v>
      </c>
      <c r="H409">
        <v>25</v>
      </c>
      <c r="I409" t="s">
        <v>31</v>
      </c>
      <c r="J409" s="1">
        <v>46065</v>
      </c>
      <c r="K409" s="1">
        <v>46145</v>
      </c>
      <c r="L409" t="s">
        <v>23</v>
      </c>
      <c r="M409">
        <f>tblInventory[[#This Row],[Unit Cost]]*tblInventory[[#This Row],[Quantity in Stock]]</f>
        <v>72380</v>
      </c>
    </row>
    <row r="410" spans="1:13" x14ac:dyDescent="0.2">
      <c r="A410" t="s">
        <v>459</v>
      </c>
      <c r="B410" t="s">
        <v>153</v>
      </c>
      <c r="C410" t="s">
        <v>34</v>
      </c>
      <c r="D410" t="s">
        <v>35</v>
      </c>
      <c r="E410">
        <v>661</v>
      </c>
      <c r="F410">
        <v>991.5</v>
      </c>
      <c r="G410">
        <v>135</v>
      </c>
      <c r="H410">
        <v>25</v>
      </c>
      <c r="I410" t="s">
        <v>43</v>
      </c>
      <c r="J410" s="1">
        <v>45999</v>
      </c>
      <c r="K410" s="1">
        <v>46021</v>
      </c>
      <c r="L410" t="s">
        <v>23</v>
      </c>
      <c r="M410">
        <f>tblInventory[[#This Row],[Unit Cost]]*tblInventory[[#This Row],[Quantity in Stock]]</f>
        <v>89235</v>
      </c>
    </row>
    <row r="411" spans="1:13" x14ac:dyDescent="0.2">
      <c r="A411" t="s">
        <v>460</v>
      </c>
      <c r="B411" t="s">
        <v>25</v>
      </c>
      <c r="C411" t="s">
        <v>14</v>
      </c>
      <c r="D411" t="s">
        <v>30</v>
      </c>
      <c r="E411">
        <v>651</v>
      </c>
      <c r="F411">
        <v>846.3</v>
      </c>
      <c r="G411">
        <v>219</v>
      </c>
      <c r="H411">
        <v>25</v>
      </c>
      <c r="I411" t="s">
        <v>43</v>
      </c>
      <c r="J411" s="1">
        <v>45765</v>
      </c>
      <c r="K411" s="1">
        <v>45801</v>
      </c>
      <c r="L411" t="s">
        <v>23</v>
      </c>
      <c r="M411">
        <f>tblInventory[[#This Row],[Unit Cost]]*tblInventory[[#This Row],[Quantity in Stock]]</f>
        <v>142569</v>
      </c>
    </row>
    <row r="412" spans="1:13" x14ac:dyDescent="0.2">
      <c r="A412" t="s">
        <v>461</v>
      </c>
      <c r="B412" t="s">
        <v>42</v>
      </c>
      <c r="C412" t="s">
        <v>34</v>
      </c>
      <c r="D412" t="s">
        <v>30</v>
      </c>
      <c r="E412">
        <v>69</v>
      </c>
      <c r="F412">
        <v>82.8</v>
      </c>
      <c r="G412">
        <v>8</v>
      </c>
      <c r="H412">
        <v>10</v>
      </c>
      <c r="I412" t="s">
        <v>16</v>
      </c>
      <c r="J412" s="1">
        <v>45662</v>
      </c>
      <c r="K412" s="1">
        <v>45672</v>
      </c>
      <c r="L412" t="s">
        <v>17</v>
      </c>
      <c r="M412">
        <f>tblInventory[[#This Row],[Unit Cost]]*tblInventory[[#This Row],[Quantity in Stock]]</f>
        <v>552</v>
      </c>
    </row>
    <row r="413" spans="1:13" x14ac:dyDescent="0.2">
      <c r="A413" t="s">
        <v>462</v>
      </c>
      <c r="B413" t="s">
        <v>28</v>
      </c>
      <c r="C413" t="s">
        <v>29</v>
      </c>
      <c r="D413" t="s">
        <v>19</v>
      </c>
      <c r="E413">
        <v>620</v>
      </c>
      <c r="F413">
        <v>868</v>
      </c>
      <c r="G413">
        <v>110</v>
      </c>
      <c r="H413">
        <v>40</v>
      </c>
      <c r="I413" t="s">
        <v>43</v>
      </c>
      <c r="J413" s="1">
        <v>45745</v>
      </c>
      <c r="K413" s="1">
        <v>45793</v>
      </c>
      <c r="L413" t="s">
        <v>23</v>
      </c>
      <c r="M413">
        <f>tblInventory[[#This Row],[Unit Cost]]*tblInventory[[#This Row],[Quantity in Stock]]</f>
        <v>68200</v>
      </c>
    </row>
    <row r="414" spans="1:13" x14ac:dyDescent="0.2">
      <c r="A414" t="s">
        <v>463</v>
      </c>
      <c r="B414" t="s">
        <v>65</v>
      </c>
      <c r="C414" t="s">
        <v>22</v>
      </c>
      <c r="D414" t="s">
        <v>40</v>
      </c>
      <c r="E414">
        <v>612</v>
      </c>
      <c r="F414">
        <v>856.8</v>
      </c>
      <c r="G414">
        <v>298</v>
      </c>
      <c r="H414">
        <v>50</v>
      </c>
      <c r="I414" t="s">
        <v>31</v>
      </c>
      <c r="J414" s="1">
        <v>45703</v>
      </c>
      <c r="K414" s="1">
        <v>45725</v>
      </c>
      <c r="L414" t="s">
        <v>23</v>
      </c>
      <c r="M414">
        <f>tblInventory[[#This Row],[Unit Cost]]*tblInventory[[#This Row],[Quantity in Stock]]</f>
        <v>182376</v>
      </c>
    </row>
    <row r="415" spans="1:13" x14ac:dyDescent="0.2">
      <c r="A415" t="s">
        <v>464</v>
      </c>
      <c r="B415" t="s">
        <v>104</v>
      </c>
      <c r="C415" t="s">
        <v>29</v>
      </c>
      <c r="D415" t="s">
        <v>35</v>
      </c>
      <c r="E415">
        <v>285</v>
      </c>
      <c r="F415">
        <v>427.5</v>
      </c>
      <c r="G415">
        <v>276</v>
      </c>
      <c r="H415">
        <v>20</v>
      </c>
      <c r="I415" t="s">
        <v>31</v>
      </c>
      <c r="J415" s="1">
        <v>45709</v>
      </c>
      <c r="K415" s="1">
        <v>45729</v>
      </c>
      <c r="L415" t="s">
        <v>23</v>
      </c>
      <c r="M415">
        <f>tblInventory[[#This Row],[Unit Cost]]*tblInventory[[#This Row],[Quantity in Stock]]</f>
        <v>78660</v>
      </c>
    </row>
    <row r="416" spans="1:13" x14ac:dyDescent="0.2">
      <c r="A416" t="s">
        <v>465</v>
      </c>
      <c r="B416" t="s">
        <v>57</v>
      </c>
      <c r="C416" t="s">
        <v>29</v>
      </c>
      <c r="D416" t="s">
        <v>15</v>
      </c>
      <c r="E416">
        <v>342</v>
      </c>
      <c r="F416">
        <v>478.8</v>
      </c>
      <c r="G416">
        <v>234</v>
      </c>
      <c r="H416">
        <v>30</v>
      </c>
      <c r="I416" t="s">
        <v>31</v>
      </c>
      <c r="J416" s="1">
        <v>45979</v>
      </c>
      <c r="K416" s="1">
        <v>46025</v>
      </c>
      <c r="L416" t="s">
        <v>23</v>
      </c>
      <c r="M416">
        <f>tblInventory[[#This Row],[Unit Cost]]*tblInventory[[#This Row],[Quantity in Stock]]</f>
        <v>80028</v>
      </c>
    </row>
    <row r="417" spans="1:13" x14ac:dyDescent="0.2">
      <c r="A417" t="s">
        <v>466</v>
      </c>
      <c r="B417" t="s">
        <v>60</v>
      </c>
      <c r="C417" t="s">
        <v>34</v>
      </c>
      <c r="D417" t="s">
        <v>15</v>
      </c>
      <c r="E417">
        <v>127</v>
      </c>
      <c r="F417">
        <v>177.8</v>
      </c>
      <c r="G417">
        <v>52</v>
      </c>
      <c r="H417">
        <v>25</v>
      </c>
      <c r="I417" t="s">
        <v>16</v>
      </c>
      <c r="J417" s="1">
        <v>46088</v>
      </c>
      <c r="K417" s="1">
        <v>46128</v>
      </c>
      <c r="L417" t="s">
        <v>23</v>
      </c>
      <c r="M417">
        <f>tblInventory[[#This Row],[Unit Cost]]*tblInventory[[#This Row],[Quantity in Stock]]</f>
        <v>6604</v>
      </c>
    </row>
    <row r="418" spans="1:13" x14ac:dyDescent="0.2">
      <c r="A418" t="s">
        <v>467</v>
      </c>
      <c r="B418" t="s">
        <v>42</v>
      </c>
      <c r="C418" t="s">
        <v>34</v>
      </c>
      <c r="D418" t="s">
        <v>15</v>
      </c>
      <c r="E418">
        <v>47</v>
      </c>
      <c r="F418">
        <v>61.1</v>
      </c>
      <c r="G418">
        <v>121</v>
      </c>
      <c r="H418">
        <v>50</v>
      </c>
      <c r="I418" t="s">
        <v>31</v>
      </c>
      <c r="J418" s="1">
        <v>46026</v>
      </c>
      <c r="K418" s="1">
        <v>46039</v>
      </c>
      <c r="L418" t="s">
        <v>23</v>
      </c>
      <c r="M418">
        <f>tblInventory[[#This Row],[Unit Cost]]*tblInventory[[#This Row],[Quantity in Stock]]</f>
        <v>5687</v>
      </c>
    </row>
    <row r="419" spans="1:13" x14ac:dyDescent="0.2">
      <c r="A419" t="s">
        <v>468</v>
      </c>
      <c r="B419" t="s">
        <v>65</v>
      </c>
      <c r="C419" t="s">
        <v>22</v>
      </c>
      <c r="D419" t="s">
        <v>26</v>
      </c>
      <c r="E419">
        <v>316</v>
      </c>
      <c r="F419">
        <v>442.4</v>
      </c>
      <c r="G419">
        <v>145</v>
      </c>
      <c r="H419">
        <v>30</v>
      </c>
      <c r="I419" t="s">
        <v>31</v>
      </c>
      <c r="J419" s="1">
        <v>46041</v>
      </c>
      <c r="K419" s="1">
        <v>46047</v>
      </c>
      <c r="L419" t="s">
        <v>23</v>
      </c>
      <c r="M419">
        <f>tblInventory[[#This Row],[Unit Cost]]*tblInventory[[#This Row],[Quantity in Stock]]</f>
        <v>45820</v>
      </c>
    </row>
    <row r="420" spans="1:13" x14ac:dyDescent="0.2">
      <c r="A420" t="s">
        <v>469</v>
      </c>
      <c r="B420" t="s">
        <v>65</v>
      </c>
      <c r="C420" t="s">
        <v>22</v>
      </c>
      <c r="D420" t="s">
        <v>15</v>
      </c>
      <c r="E420">
        <v>548</v>
      </c>
      <c r="F420">
        <v>657.6</v>
      </c>
      <c r="G420">
        <v>112</v>
      </c>
      <c r="H420">
        <v>15</v>
      </c>
      <c r="I420" t="s">
        <v>43</v>
      </c>
      <c r="J420" s="1">
        <v>45983</v>
      </c>
      <c r="K420" s="1">
        <v>46042</v>
      </c>
      <c r="L420" t="s">
        <v>23</v>
      </c>
      <c r="M420">
        <f>tblInventory[[#This Row],[Unit Cost]]*tblInventory[[#This Row],[Quantity in Stock]]</f>
        <v>61376</v>
      </c>
    </row>
    <row r="421" spans="1:13" x14ac:dyDescent="0.2">
      <c r="A421" t="s">
        <v>470</v>
      </c>
      <c r="B421" t="s">
        <v>70</v>
      </c>
      <c r="C421" t="s">
        <v>14</v>
      </c>
      <c r="D421" t="s">
        <v>40</v>
      </c>
      <c r="E421">
        <v>514</v>
      </c>
      <c r="F421">
        <v>771</v>
      </c>
      <c r="G421">
        <v>264</v>
      </c>
      <c r="H421">
        <v>20</v>
      </c>
      <c r="I421" t="s">
        <v>31</v>
      </c>
      <c r="J421" s="1">
        <v>45974</v>
      </c>
      <c r="K421" s="1">
        <v>46036</v>
      </c>
      <c r="L421" t="s">
        <v>23</v>
      </c>
      <c r="M421">
        <f>tblInventory[[#This Row],[Unit Cost]]*tblInventory[[#This Row],[Quantity in Stock]]</f>
        <v>135696</v>
      </c>
    </row>
    <row r="422" spans="1:13" x14ac:dyDescent="0.2">
      <c r="A422" t="s">
        <v>471</v>
      </c>
      <c r="B422" t="s">
        <v>50</v>
      </c>
      <c r="C422" t="s">
        <v>34</v>
      </c>
      <c r="D422" t="s">
        <v>35</v>
      </c>
      <c r="E422">
        <v>6</v>
      </c>
      <c r="F422">
        <v>7.8</v>
      </c>
      <c r="G422">
        <v>70</v>
      </c>
      <c r="H422">
        <v>50</v>
      </c>
      <c r="I422" t="s">
        <v>16</v>
      </c>
      <c r="J422" s="1">
        <v>46146</v>
      </c>
      <c r="K422" s="1">
        <v>46160</v>
      </c>
      <c r="L422" t="s">
        <v>23</v>
      </c>
      <c r="M422">
        <f>tblInventory[[#This Row],[Unit Cost]]*tblInventory[[#This Row],[Quantity in Stock]]</f>
        <v>420</v>
      </c>
    </row>
    <row r="423" spans="1:13" x14ac:dyDescent="0.2">
      <c r="A423" t="s">
        <v>472</v>
      </c>
      <c r="B423" t="s">
        <v>21</v>
      </c>
      <c r="C423" t="s">
        <v>22</v>
      </c>
      <c r="D423" t="s">
        <v>26</v>
      </c>
      <c r="E423">
        <v>394</v>
      </c>
      <c r="F423">
        <v>551.6</v>
      </c>
      <c r="G423">
        <v>179</v>
      </c>
      <c r="H423">
        <v>40</v>
      </c>
      <c r="I423" t="s">
        <v>43</v>
      </c>
      <c r="J423" s="1">
        <v>45708</v>
      </c>
      <c r="K423" s="1">
        <v>45727</v>
      </c>
      <c r="L423" t="s">
        <v>23</v>
      </c>
      <c r="M423">
        <f>tblInventory[[#This Row],[Unit Cost]]*tblInventory[[#This Row],[Quantity in Stock]]</f>
        <v>70526</v>
      </c>
    </row>
    <row r="424" spans="1:13" x14ac:dyDescent="0.2">
      <c r="A424" t="s">
        <v>473</v>
      </c>
      <c r="B424" t="s">
        <v>50</v>
      </c>
      <c r="C424" t="s">
        <v>34</v>
      </c>
      <c r="D424" t="s">
        <v>26</v>
      </c>
      <c r="E424">
        <v>52</v>
      </c>
      <c r="F424">
        <v>67.599999999999994</v>
      </c>
      <c r="G424">
        <v>240</v>
      </c>
      <c r="H424">
        <v>20</v>
      </c>
      <c r="I424" t="s">
        <v>43</v>
      </c>
      <c r="J424" s="1">
        <v>45964</v>
      </c>
      <c r="K424" s="1">
        <v>46010</v>
      </c>
      <c r="L424" t="s">
        <v>23</v>
      </c>
      <c r="M424">
        <f>tblInventory[[#This Row],[Unit Cost]]*tblInventory[[#This Row],[Quantity in Stock]]</f>
        <v>12480</v>
      </c>
    </row>
    <row r="425" spans="1:13" x14ac:dyDescent="0.2">
      <c r="A425" t="s">
        <v>474</v>
      </c>
      <c r="B425" t="s">
        <v>57</v>
      </c>
      <c r="C425" t="s">
        <v>29</v>
      </c>
      <c r="D425" t="s">
        <v>35</v>
      </c>
      <c r="E425">
        <v>306</v>
      </c>
      <c r="F425">
        <v>428.4</v>
      </c>
      <c r="G425">
        <v>266</v>
      </c>
      <c r="H425">
        <v>10</v>
      </c>
      <c r="I425" t="s">
        <v>31</v>
      </c>
      <c r="J425" s="1">
        <v>45963</v>
      </c>
      <c r="K425" s="1">
        <v>46025</v>
      </c>
      <c r="L425" t="s">
        <v>23</v>
      </c>
      <c r="M425">
        <f>tblInventory[[#This Row],[Unit Cost]]*tblInventory[[#This Row],[Quantity in Stock]]</f>
        <v>81396</v>
      </c>
    </row>
    <row r="426" spans="1:13" x14ac:dyDescent="0.2">
      <c r="A426" t="s">
        <v>475</v>
      </c>
      <c r="B426" t="s">
        <v>33</v>
      </c>
      <c r="C426" t="s">
        <v>34</v>
      </c>
      <c r="D426" t="s">
        <v>15</v>
      </c>
      <c r="E426">
        <v>20</v>
      </c>
      <c r="F426">
        <v>28</v>
      </c>
      <c r="G426">
        <v>39</v>
      </c>
      <c r="H426">
        <v>25</v>
      </c>
      <c r="I426" t="s">
        <v>43</v>
      </c>
      <c r="J426" s="1">
        <v>45991</v>
      </c>
      <c r="K426" s="1">
        <v>46025</v>
      </c>
      <c r="L426" t="s">
        <v>23</v>
      </c>
      <c r="M426">
        <f>tblInventory[[#This Row],[Unit Cost]]*tblInventory[[#This Row],[Quantity in Stock]]</f>
        <v>780</v>
      </c>
    </row>
    <row r="427" spans="1:13" x14ac:dyDescent="0.2">
      <c r="A427" t="s">
        <v>476</v>
      </c>
      <c r="B427" t="s">
        <v>48</v>
      </c>
      <c r="C427" t="s">
        <v>14</v>
      </c>
      <c r="D427" t="s">
        <v>19</v>
      </c>
      <c r="E427">
        <v>575</v>
      </c>
      <c r="F427">
        <v>690</v>
      </c>
      <c r="G427">
        <v>238</v>
      </c>
      <c r="H427">
        <v>40</v>
      </c>
      <c r="I427" t="s">
        <v>31</v>
      </c>
      <c r="J427" s="1">
        <v>45990</v>
      </c>
      <c r="K427" s="1">
        <v>46049</v>
      </c>
      <c r="L427" t="s">
        <v>23</v>
      </c>
      <c r="M427">
        <f>tblInventory[[#This Row],[Unit Cost]]*tblInventory[[#This Row],[Quantity in Stock]]</f>
        <v>136850</v>
      </c>
    </row>
    <row r="428" spans="1:13" x14ac:dyDescent="0.2">
      <c r="A428" t="s">
        <v>477</v>
      </c>
      <c r="B428" t="s">
        <v>50</v>
      </c>
      <c r="C428" t="s">
        <v>34</v>
      </c>
      <c r="D428" t="s">
        <v>40</v>
      </c>
      <c r="E428">
        <v>23</v>
      </c>
      <c r="F428">
        <v>34.5</v>
      </c>
      <c r="G428">
        <v>34</v>
      </c>
      <c r="H428">
        <v>30</v>
      </c>
      <c r="I428" t="s">
        <v>43</v>
      </c>
      <c r="J428" s="1">
        <v>46187</v>
      </c>
      <c r="K428" s="1">
        <v>46197</v>
      </c>
      <c r="L428" t="s">
        <v>23</v>
      </c>
      <c r="M428">
        <f>tblInventory[[#This Row],[Unit Cost]]*tblInventory[[#This Row],[Quantity in Stock]]</f>
        <v>782</v>
      </c>
    </row>
    <row r="429" spans="1:13" x14ac:dyDescent="0.2">
      <c r="A429" t="s">
        <v>478</v>
      </c>
      <c r="B429" t="s">
        <v>70</v>
      </c>
      <c r="C429" t="s">
        <v>14</v>
      </c>
      <c r="D429" t="s">
        <v>26</v>
      </c>
      <c r="E429">
        <v>655</v>
      </c>
      <c r="F429">
        <v>982.5</v>
      </c>
      <c r="G429">
        <v>62</v>
      </c>
      <c r="H429">
        <v>40</v>
      </c>
      <c r="I429" t="s">
        <v>16</v>
      </c>
      <c r="J429" s="1">
        <v>45863</v>
      </c>
      <c r="K429" s="1">
        <v>45946</v>
      </c>
      <c r="L429" t="s">
        <v>23</v>
      </c>
      <c r="M429">
        <f>tblInventory[[#This Row],[Unit Cost]]*tblInventory[[#This Row],[Quantity in Stock]]</f>
        <v>40610</v>
      </c>
    </row>
    <row r="430" spans="1:13" x14ac:dyDescent="0.2">
      <c r="A430" t="s">
        <v>479</v>
      </c>
      <c r="B430" t="s">
        <v>46</v>
      </c>
      <c r="C430" t="s">
        <v>14</v>
      </c>
      <c r="D430" t="s">
        <v>19</v>
      </c>
      <c r="E430">
        <v>16</v>
      </c>
      <c r="F430">
        <v>19.2</v>
      </c>
      <c r="G430">
        <v>81</v>
      </c>
      <c r="H430">
        <v>50</v>
      </c>
      <c r="I430" t="s">
        <v>31</v>
      </c>
      <c r="J430" s="1">
        <v>46163</v>
      </c>
      <c r="K430" s="1">
        <v>46164</v>
      </c>
      <c r="L430" t="s">
        <v>23</v>
      </c>
      <c r="M430">
        <f>tblInventory[[#This Row],[Unit Cost]]*tblInventory[[#This Row],[Quantity in Stock]]</f>
        <v>1296</v>
      </c>
    </row>
    <row r="431" spans="1:13" x14ac:dyDescent="0.2">
      <c r="A431" t="s">
        <v>480</v>
      </c>
      <c r="B431" t="s">
        <v>21</v>
      </c>
      <c r="C431" t="s">
        <v>22</v>
      </c>
      <c r="D431" t="s">
        <v>19</v>
      </c>
      <c r="E431">
        <v>189</v>
      </c>
      <c r="F431">
        <v>226.8</v>
      </c>
      <c r="G431">
        <v>125</v>
      </c>
      <c r="H431">
        <v>15</v>
      </c>
      <c r="I431" t="s">
        <v>31</v>
      </c>
      <c r="J431" s="1">
        <v>46014</v>
      </c>
      <c r="K431" s="1">
        <v>46043</v>
      </c>
      <c r="L431" t="s">
        <v>23</v>
      </c>
      <c r="M431">
        <f>tblInventory[[#This Row],[Unit Cost]]*tblInventory[[#This Row],[Quantity in Stock]]</f>
        <v>23625</v>
      </c>
    </row>
    <row r="432" spans="1:13" x14ac:dyDescent="0.2">
      <c r="A432" t="s">
        <v>481</v>
      </c>
      <c r="B432" t="s">
        <v>104</v>
      </c>
      <c r="C432" t="s">
        <v>29</v>
      </c>
      <c r="D432" t="s">
        <v>35</v>
      </c>
      <c r="E432">
        <v>667</v>
      </c>
      <c r="F432">
        <v>800.4</v>
      </c>
      <c r="G432">
        <v>7</v>
      </c>
      <c r="H432">
        <v>20</v>
      </c>
      <c r="I432" t="s">
        <v>43</v>
      </c>
      <c r="J432" s="1">
        <v>46107</v>
      </c>
      <c r="K432" s="1">
        <v>46158</v>
      </c>
      <c r="L432" t="s">
        <v>17</v>
      </c>
      <c r="M432">
        <f>tblInventory[[#This Row],[Unit Cost]]*tblInventory[[#This Row],[Quantity in Stock]]</f>
        <v>4669</v>
      </c>
    </row>
    <row r="433" spans="1:13" x14ac:dyDescent="0.2">
      <c r="A433" t="s">
        <v>482</v>
      </c>
      <c r="B433" t="s">
        <v>21</v>
      </c>
      <c r="C433" t="s">
        <v>22</v>
      </c>
      <c r="D433" t="s">
        <v>26</v>
      </c>
      <c r="E433">
        <v>273</v>
      </c>
      <c r="F433">
        <v>354.9</v>
      </c>
      <c r="G433">
        <v>162</v>
      </c>
      <c r="H433">
        <v>25</v>
      </c>
      <c r="I433" t="s">
        <v>16</v>
      </c>
      <c r="J433" s="1">
        <v>46153</v>
      </c>
      <c r="K433" s="1">
        <v>46165</v>
      </c>
      <c r="L433" t="s">
        <v>23</v>
      </c>
      <c r="M433">
        <f>tblInventory[[#This Row],[Unit Cost]]*tblInventory[[#This Row],[Quantity in Stock]]</f>
        <v>44226</v>
      </c>
    </row>
    <row r="434" spans="1:13" x14ac:dyDescent="0.2">
      <c r="A434" t="s">
        <v>483</v>
      </c>
      <c r="B434" t="s">
        <v>42</v>
      </c>
      <c r="C434" t="s">
        <v>34</v>
      </c>
      <c r="D434" t="s">
        <v>40</v>
      </c>
      <c r="E434">
        <v>316</v>
      </c>
      <c r="F434">
        <v>474</v>
      </c>
      <c r="G434">
        <v>156</v>
      </c>
      <c r="H434">
        <v>40</v>
      </c>
      <c r="I434" t="s">
        <v>43</v>
      </c>
      <c r="J434" s="1">
        <v>45787</v>
      </c>
      <c r="K434" s="1">
        <v>45852</v>
      </c>
      <c r="L434" t="s">
        <v>23</v>
      </c>
      <c r="M434">
        <f>tblInventory[[#This Row],[Unit Cost]]*tblInventory[[#This Row],[Quantity in Stock]]</f>
        <v>49296</v>
      </c>
    </row>
    <row r="435" spans="1:13" x14ac:dyDescent="0.2">
      <c r="A435" t="s">
        <v>484</v>
      </c>
      <c r="B435" t="s">
        <v>52</v>
      </c>
      <c r="C435" t="s">
        <v>22</v>
      </c>
      <c r="D435" t="s">
        <v>35</v>
      </c>
      <c r="E435">
        <v>139</v>
      </c>
      <c r="F435">
        <v>180.7</v>
      </c>
      <c r="G435">
        <v>169</v>
      </c>
      <c r="H435">
        <v>10</v>
      </c>
      <c r="I435" t="s">
        <v>31</v>
      </c>
      <c r="J435" s="1">
        <v>45710</v>
      </c>
      <c r="K435" s="1">
        <v>45779</v>
      </c>
      <c r="L435" t="s">
        <v>23</v>
      </c>
      <c r="M435">
        <f>tblInventory[[#This Row],[Unit Cost]]*tblInventory[[#This Row],[Quantity in Stock]]</f>
        <v>23491</v>
      </c>
    </row>
    <row r="436" spans="1:13" x14ac:dyDescent="0.2">
      <c r="A436" t="s">
        <v>485</v>
      </c>
      <c r="B436" t="s">
        <v>161</v>
      </c>
      <c r="C436" t="s">
        <v>34</v>
      </c>
      <c r="D436" t="s">
        <v>35</v>
      </c>
      <c r="E436">
        <v>479</v>
      </c>
      <c r="F436">
        <v>718.5</v>
      </c>
      <c r="G436">
        <v>270</v>
      </c>
      <c r="H436">
        <v>25</v>
      </c>
      <c r="I436" t="s">
        <v>31</v>
      </c>
      <c r="J436" s="1">
        <v>45682</v>
      </c>
      <c r="K436" s="1">
        <v>45690</v>
      </c>
      <c r="L436" t="s">
        <v>23</v>
      </c>
      <c r="M436">
        <f>tblInventory[[#This Row],[Unit Cost]]*tblInventory[[#This Row],[Quantity in Stock]]</f>
        <v>129330</v>
      </c>
    </row>
    <row r="437" spans="1:13" x14ac:dyDescent="0.2">
      <c r="A437" t="s">
        <v>486</v>
      </c>
      <c r="B437" t="s">
        <v>63</v>
      </c>
      <c r="C437" t="s">
        <v>22</v>
      </c>
      <c r="D437" t="s">
        <v>15</v>
      </c>
      <c r="E437">
        <v>181</v>
      </c>
      <c r="F437">
        <v>235.3</v>
      </c>
      <c r="G437">
        <v>7</v>
      </c>
      <c r="H437">
        <v>50</v>
      </c>
      <c r="I437" t="s">
        <v>16</v>
      </c>
      <c r="J437" s="1">
        <v>46015</v>
      </c>
      <c r="K437" s="1">
        <v>46060</v>
      </c>
      <c r="L437" t="s">
        <v>17</v>
      </c>
      <c r="M437">
        <f>tblInventory[[#This Row],[Unit Cost]]*tblInventory[[#This Row],[Quantity in Stock]]</f>
        <v>1267</v>
      </c>
    </row>
    <row r="438" spans="1:13" x14ac:dyDescent="0.2">
      <c r="A438" t="s">
        <v>487</v>
      </c>
      <c r="B438" t="s">
        <v>87</v>
      </c>
      <c r="C438" t="s">
        <v>29</v>
      </c>
      <c r="D438" t="s">
        <v>19</v>
      </c>
      <c r="E438">
        <v>555</v>
      </c>
      <c r="F438">
        <v>721.5</v>
      </c>
      <c r="G438">
        <v>289</v>
      </c>
      <c r="H438">
        <v>20</v>
      </c>
      <c r="I438" t="s">
        <v>43</v>
      </c>
      <c r="J438" s="1">
        <v>45844</v>
      </c>
      <c r="K438" s="1">
        <v>45924</v>
      </c>
      <c r="L438" t="s">
        <v>23</v>
      </c>
      <c r="M438">
        <f>tblInventory[[#This Row],[Unit Cost]]*tblInventory[[#This Row],[Quantity in Stock]]</f>
        <v>160395</v>
      </c>
    </row>
    <row r="439" spans="1:13" x14ac:dyDescent="0.2">
      <c r="A439" t="s">
        <v>488</v>
      </c>
      <c r="B439" t="s">
        <v>87</v>
      </c>
      <c r="C439" t="s">
        <v>29</v>
      </c>
      <c r="D439" t="s">
        <v>35</v>
      </c>
      <c r="E439">
        <v>169</v>
      </c>
      <c r="F439">
        <v>236.6</v>
      </c>
      <c r="G439">
        <v>219</v>
      </c>
      <c r="H439">
        <v>10</v>
      </c>
      <c r="I439" t="s">
        <v>16</v>
      </c>
      <c r="J439" s="1">
        <v>45936</v>
      </c>
      <c r="K439" s="1">
        <v>46004</v>
      </c>
      <c r="L439" t="s">
        <v>23</v>
      </c>
      <c r="M439">
        <f>tblInventory[[#This Row],[Unit Cost]]*tblInventory[[#This Row],[Quantity in Stock]]</f>
        <v>37011</v>
      </c>
    </row>
    <row r="440" spans="1:13" x14ac:dyDescent="0.2">
      <c r="A440" t="s">
        <v>489</v>
      </c>
      <c r="B440" t="s">
        <v>70</v>
      </c>
      <c r="C440" t="s">
        <v>14</v>
      </c>
      <c r="D440" t="s">
        <v>40</v>
      </c>
      <c r="E440">
        <v>649</v>
      </c>
      <c r="F440">
        <v>843.7</v>
      </c>
      <c r="G440">
        <v>212</v>
      </c>
      <c r="H440">
        <v>10</v>
      </c>
      <c r="I440" t="s">
        <v>43</v>
      </c>
      <c r="J440" s="1">
        <v>45852</v>
      </c>
      <c r="K440" s="1">
        <v>45929</v>
      </c>
      <c r="L440" t="s">
        <v>23</v>
      </c>
      <c r="M440">
        <f>tblInventory[[#This Row],[Unit Cost]]*tblInventory[[#This Row],[Quantity in Stock]]</f>
        <v>137588</v>
      </c>
    </row>
    <row r="441" spans="1:13" x14ac:dyDescent="0.2">
      <c r="A441" t="s">
        <v>490</v>
      </c>
      <c r="B441" t="s">
        <v>104</v>
      </c>
      <c r="C441" t="s">
        <v>29</v>
      </c>
      <c r="D441" t="s">
        <v>35</v>
      </c>
      <c r="E441">
        <v>206</v>
      </c>
      <c r="F441">
        <v>267.8</v>
      </c>
      <c r="G441">
        <v>201</v>
      </c>
      <c r="H441">
        <v>10</v>
      </c>
      <c r="I441" t="s">
        <v>43</v>
      </c>
      <c r="J441" s="1">
        <v>45666</v>
      </c>
      <c r="K441" s="1">
        <v>45672</v>
      </c>
      <c r="L441" t="s">
        <v>23</v>
      </c>
      <c r="M441">
        <f>tblInventory[[#This Row],[Unit Cost]]*tblInventory[[#This Row],[Quantity in Stock]]</f>
        <v>41406</v>
      </c>
    </row>
    <row r="442" spans="1:13" x14ac:dyDescent="0.2">
      <c r="A442" t="s">
        <v>491</v>
      </c>
      <c r="B442" t="s">
        <v>70</v>
      </c>
      <c r="C442" t="s">
        <v>14</v>
      </c>
      <c r="D442" t="s">
        <v>19</v>
      </c>
      <c r="E442">
        <v>49</v>
      </c>
      <c r="F442">
        <v>63.7</v>
      </c>
      <c r="G442">
        <v>185</v>
      </c>
      <c r="H442">
        <v>30</v>
      </c>
      <c r="I442" t="s">
        <v>43</v>
      </c>
      <c r="J442" s="1">
        <v>46029</v>
      </c>
      <c r="K442" s="1">
        <v>46048</v>
      </c>
      <c r="L442" t="s">
        <v>23</v>
      </c>
      <c r="M442">
        <f>tblInventory[[#This Row],[Unit Cost]]*tblInventory[[#This Row],[Quantity in Stock]]</f>
        <v>9065</v>
      </c>
    </row>
    <row r="443" spans="1:13" x14ac:dyDescent="0.2">
      <c r="A443" t="s">
        <v>492</v>
      </c>
      <c r="B443" t="s">
        <v>52</v>
      </c>
      <c r="C443" t="s">
        <v>22</v>
      </c>
      <c r="D443" t="s">
        <v>26</v>
      </c>
      <c r="E443">
        <v>354</v>
      </c>
      <c r="F443">
        <v>495.6</v>
      </c>
      <c r="G443">
        <v>229</v>
      </c>
      <c r="H443">
        <v>40</v>
      </c>
      <c r="I443" t="s">
        <v>16</v>
      </c>
      <c r="J443" s="1">
        <v>46085</v>
      </c>
      <c r="K443" s="1">
        <v>46102</v>
      </c>
      <c r="L443" t="s">
        <v>23</v>
      </c>
      <c r="M443">
        <f>tblInventory[[#This Row],[Unit Cost]]*tblInventory[[#This Row],[Quantity in Stock]]</f>
        <v>81066</v>
      </c>
    </row>
    <row r="444" spans="1:13" x14ac:dyDescent="0.2">
      <c r="A444" t="s">
        <v>493</v>
      </c>
      <c r="B444" t="s">
        <v>46</v>
      </c>
      <c r="C444" t="s">
        <v>14</v>
      </c>
      <c r="D444" t="s">
        <v>35</v>
      </c>
      <c r="E444">
        <v>449</v>
      </c>
      <c r="F444">
        <v>538.79999999999995</v>
      </c>
      <c r="G444">
        <v>235</v>
      </c>
      <c r="H444">
        <v>10</v>
      </c>
      <c r="I444" t="s">
        <v>43</v>
      </c>
      <c r="J444" s="1">
        <v>45968</v>
      </c>
      <c r="K444" s="1">
        <v>46040</v>
      </c>
      <c r="L444" t="s">
        <v>23</v>
      </c>
      <c r="M444">
        <f>tblInventory[[#This Row],[Unit Cost]]*tblInventory[[#This Row],[Quantity in Stock]]</f>
        <v>105515</v>
      </c>
    </row>
    <row r="445" spans="1:13" x14ac:dyDescent="0.2">
      <c r="A445" t="s">
        <v>494</v>
      </c>
      <c r="B445" t="s">
        <v>63</v>
      </c>
      <c r="C445" t="s">
        <v>22</v>
      </c>
      <c r="D445" t="s">
        <v>26</v>
      </c>
      <c r="E445">
        <v>497</v>
      </c>
      <c r="F445">
        <v>646.1</v>
      </c>
      <c r="G445">
        <v>225</v>
      </c>
      <c r="H445">
        <v>40</v>
      </c>
      <c r="I445" t="s">
        <v>16</v>
      </c>
      <c r="J445" s="1">
        <v>46098</v>
      </c>
      <c r="K445" s="1">
        <v>46104</v>
      </c>
      <c r="L445" t="s">
        <v>23</v>
      </c>
      <c r="M445">
        <f>tblInventory[[#This Row],[Unit Cost]]*tblInventory[[#This Row],[Quantity in Stock]]</f>
        <v>111825</v>
      </c>
    </row>
    <row r="446" spans="1:13" x14ac:dyDescent="0.2">
      <c r="A446" t="s">
        <v>495</v>
      </c>
      <c r="B446" t="s">
        <v>37</v>
      </c>
      <c r="C446" t="s">
        <v>22</v>
      </c>
      <c r="D446" t="s">
        <v>35</v>
      </c>
      <c r="E446">
        <v>551</v>
      </c>
      <c r="F446">
        <v>771.4</v>
      </c>
      <c r="G446">
        <v>185</v>
      </c>
      <c r="H446">
        <v>25</v>
      </c>
      <c r="I446" t="s">
        <v>43</v>
      </c>
      <c r="J446" s="1">
        <v>45895</v>
      </c>
      <c r="K446" s="1">
        <v>45938</v>
      </c>
      <c r="L446" t="s">
        <v>23</v>
      </c>
      <c r="M446">
        <f>tblInventory[[#This Row],[Unit Cost]]*tblInventory[[#This Row],[Quantity in Stock]]</f>
        <v>101935</v>
      </c>
    </row>
    <row r="447" spans="1:13" x14ac:dyDescent="0.2">
      <c r="A447" t="s">
        <v>496</v>
      </c>
      <c r="B447" t="s">
        <v>21</v>
      </c>
      <c r="C447" t="s">
        <v>22</v>
      </c>
      <c r="D447" t="s">
        <v>35</v>
      </c>
      <c r="E447">
        <v>63</v>
      </c>
      <c r="F447">
        <v>75.599999999999994</v>
      </c>
      <c r="G447">
        <v>204</v>
      </c>
      <c r="H447">
        <v>20</v>
      </c>
      <c r="I447" t="s">
        <v>16</v>
      </c>
      <c r="J447" s="1">
        <v>46009</v>
      </c>
      <c r="K447" s="1">
        <v>46073</v>
      </c>
      <c r="L447" t="s">
        <v>23</v>
      </c>
      <c r="M447">
        <f>tblInventory[[#This Row],[Unit Cost]]*tblInventory[[#This Row],[Quantity in Stock]]</f>
        <v>12852</v>
      </c>
    </row>
    <row r="448" spans="1:13" x14ac:dyDescent="0.2">
      <c r="A448" t="s">
        <v>497</v>
      </c>
      <c r="B448" t="s">
        <v>46</v>
      </c>
      <c r="C448" t="s">
        <v>14</v>
      </c>
      <c r="D448" t="s">
        <v>35</v>
      </c>
      <c r="E448">
        <v>571</v>
      </c>
      <c r="F448">
        <v>685.2</v>
      </c>
      <c r="G448">
        <v>177</v>
      </c>
      <c r="H448">
        <v>25</v>
      </c>
      <c r="I448" t="s">
        <v>31</v>
      </c>
      <c r="J448" s="1">
        <v>45679</v>
      </c>
      <c r="K448" s="1">
        <v>45752</v>
      </c>
      <c r="L448" t="s">
        <v>23</v>
      </c>
      <c r="M448">
        <f>tblInventory[[#This Row],[Unit Cost]]*tblInventory[[#This Row],[Quantity in Stock]]</f>
        <v>101067</v>
      </c>
    </row>
    <row r="449" spans="1:13" x14ac:dyDescent="0.2">
      <c r="A449" t="s">
        <v>498</v>
      </c>
      <c r="B449" t="s">
        <v>63</v>
      </c>
      <c r="C449" t="s">
        <v>22</v>
      </c>
      <c r="D449" t="s">
        <v>15</v>
      </c>
      <c r="E449">
        <v>432</v>
      </c>
      <c r="F449">
        <v>518.4</v>
      </c>
      <c r="G449">
        <v>200</v>
      </c>
      <c r="H449">
        <v>25</v>
      </c>
      <c r="I449" t="s">
        <v>43</v>
      </c>
      <c r="J449" s="1">
        <v>46047</v>
      </c>
      <c r="K449" s="1">
        <v>46082</v>
      </c>
      <c r="L449" t="s">
        <v>23</v>
      </c>
      <c r="M449">
        <f>tblInventory[[#This Row],[Unit Cost]]*tblInventory[[#This Row],[Quantity in Stock]]</f>
        <v>86400</v>
      </c>
    </row>
    <row r="450" spans="1:13" x14ac:dyDescent="0.2">
      <c r="A450" t="s">
        <v>499</v>
      </c>
      <c r="B450" t="s">
        <v>87</v>
      </c>
      <c r="C450" t="s">
        <v>29</v>
      </c>
      <c r="D450" t="s">
        <v>19</v>
      </c>
      <c r="E450">
        <v>383</v>
      </c>
      <c r="F450">
        <v>497.9</v>
      </c>
      <c r="G450">
        <v>18</v>
      </c>
      <c r="H450">
        <v>10</v>
      </c>
      <c r="I450" t="s">
        <v>16</v>
      </c>
      <c r="J450" s="1">
        <v>45750</v>
      </c>
      <c r="K450" s="1">
        <v>45778</v>
      </c>
      <c r="L450" t="s">
        <v>23</v>
      </c>
      <c r="M450">
        <f>tblInventory[[#This Row],[Unit Cost]]*tblInventory[[#This Row],[Quantity in Stock]]</f>
        <v>6894</v>
      </c>
    </row>
    <row r="451" spans="1:13" x14ac:dyDescent="0.2">
      <c r="A451" t="s">
        <v>500</v>
      </c>
      <c r="B451" t="s">
        <v>50</v>
      </c>
      <c r="C451" t="s">
        <v>34</v>
      </c>
      <c r="D451" t="s">
        <v>26</v>
      </c>
      <c r="E451">
        <v>346</v>
      </c>
      <c r="F451">
        <v>415.2</v>
      </c>
      <c r="G451">
        <v>152</v>
      </c>
      <c r="H451">
        <v>10</v>
      </c>
      <c r="I451" t="s">
        <v>31</v>
      </c>
      <c r="J451" s="1">
        <v>45802</v>
      </c>
      <c r="K451" s="1">
        <v>45842</v>
      </c>
      <c r="L451" t="s">
        <v>23</v>
      </c>
      <c r="M451">
        <f>tblInventory[[#This Row],[Unit Cost]]*tblInventory[[#This Row],[Quantity in Stock]]</f>
        <v>52592</v>
      </c>
    </row>
    <row r="452" spans="1:13" x14ac:dyDescent="0.2">
      <c r="A452" t="s">
        <v>501</v>
      </c>
      <c r="B452" t="s">
        <v>46</v>
      </c>
      <c r="C452" t="s">
        <v>14</v>
      </c>
      <c r="D452" t="s">
        <v>35</v>
      </c>
      <c r="E452">
        <v>21</v>
      </c>
      <c r="F452">
        <v>27.3</v>
      </c>
      <c r="G452">
        <v>31</v>
      </c>
      <c r="H452">
        <v>40</v>
      </c>
      <c r="I452" t="s">
        <v>43</v>
      </c>
      <c r="J452" s="1">
        <v>45859</v>
      </c>
      <c r="K452" s="1">
        <v>45877</v>
      </c>
      <c r="L452" t="s">
        <v>17</v>
      </c>
      <c r="M452">
        <f>tblInventory[[#This Row],[Unit Cost]]*tblInventory[[#This Row],[Quantity in Stock]]</f>
        <v>651</v>
      </c>
    </row>
    <row r="453" spans="1:13" x14ac:dyDescent="0.2">
      <c r="A453" t="s">
        <v>502</v>
      </c>
      <c r="B453" t="s">
        <v>65</v>
      </c>
      <c r="C453" t="s">
        <v>22</v>
      </c>
      <c r="D453" t="s">
        <v>26</v>
      </c>
      <c r="E453">
        <v>187</v>
      </c>
      <c r="F453">
        <v>224.4</v>
      </c>
      <c r="G453">
        <v>79</v>
      </c>
      <c r="H453">
        <v>30</v>
      </c>
      <c r="I453" t="s">
        <v>31</v>
      </c>
      <c r="J453" s="1">
        <v>46026</v>
      </c>
      <c r="K453" s="1">
        <v>46110</v>
      </c>
      <c r="L453" t="s">
        <v>23</v>
      </c>
      <c r="M453">
        <f>tblInventory[[#This Row],[Unit Cost]]*tblInventory[[#This Row],[Quantity in Stock]]</f>
        <v>14773</v>
      </c>
    </row>
    <row r="454" spans="1:13" x14ac:dyDescent="0.2">
      <c r="A454" t="s">
        <v>503</v>
      </c>
      <c r="B454" t="s">
        <v>116</v>
      </c>
      <c r="C454" t="s">
        <v>22</v>
      </c>
      <c r="D454" t="s">
        <v>30</v>
      </c>
      <c r="E454">
        <v>121</v>
      </c>
      <c r="F454">
        <v>157.30000000000001</v>
      </c>
      <c r="G454">
        <v>227</v>
      </c>
      <c r="H454">
        <v>20</v>
      </c>
      <c r="I454" t="s">
        <v>43</v>
      </c>
      <c r="J454" s="1">
        <v>46092</v>
      </c>
      <c r="K454" s="1">
        <v>46171</v>
      </c>
      <c r="L454" t="s">
        <v>23</v>
      </c>
      <c r="M454">
        <f>tblInventory[[#This Row],[Unit Cost]]*tblInventory[[#This Row],[Quantity in Stock]]</f>
        <v>27467</v>
      </c>
    </row>
    <row r="455" spans="1:13" x14ac:dyDescent="0.2">
      <c r="A455" t="s">
        <v>504</v>
      </c>
      <c r="B455" t="s">
        <v>70</v>
      </c>
      <c r="C455" t="s">
        <v>14</v>
      </c>
      <c r="D455" t="s">
        <v>30</v>
      </c>
      <c r="E455">
        <v>141</v>
      </c>
      <c r="F455">
        <v>169.2</v>
      </c>
      <c r="G455">
        <v>78</v>
      </c>
      <c r="H455">
        <v>40</v>
      </c>
      <c r="I455" t="s">
        <v>16</v>
      </c>
      <c r="J455" s="1">
        <v>45927</v>
      </c>
      <c r="K455" s="1">
        <v>45998</v>
      </c>
      <c r="L455" t="s">
        <v>23</v>
      </c>
      <c r="M455">
        <f>tblInventory[[#This Row],[Unit Cost]]*tblInventory[[#This Row],[Quantity in Stock]]</f>
        <v>10998</v>
      </c>
    </row>
    <row r="456" spans="1:13" x14ac:dyDescent="0.2">
      <c r="A456" t="s">
        <v>505</v>
      </c>
      <c r="B456" t="s">
        <v>57</v>
      </c>
      <c r="C456" t="s">
        <v>29</v>
      </c>
      <c r="D456" t="s">
        <v>15</v>
      </c>
      <c r="E456">
        <v>73</v>
      </c>
      <c r="F456">
        <v>109.5</v>
      </c>
      <c r="G456">
        <v>216</v>
      </c>
      <c r="H456">
        <v>25</v>
      </c>
      <c r="I456" t="s">
        <v>43</v>
      </c>
      <c r="J456" s="1">
        <v>46006</v>
      </c>
      <c r="K456" s="1">
        <v>46036</v>
      </c>
      <c r="L456" t="s">
        <v>23</v>
      </c>
      <c r="M456">
        <f>tblInventory[[#This Row],[Unit Cost]]*tblInventory[[#This Row],[Quantity in Stock]]</f>
        <v>15768</v>
      </c>
    </row>
    <row r="457" spans="1:13" x14ac:dyDescent="0.2">
      <c r="A457" t="s">
        <v>506</v>
      </c>
      <c r="B457" t="s">
        <v>57</v>
      </c>
      <c r="C457" t="s">
        <v>29</v>
      </c>
      <c r="D457" t="s">
        <v>19</v>
      </c>
      <c r="E457">
        <v>696</v>
      </c>
      <c r="F457">
        <v>1044</v>
      </c>
      <c r="G457">
        <v>297</v>
      </c>
      <c r="H457">
        <v>15</v>
      </c>
      <c r="I457" t="s">
        <v>31</v>
      </c>
      <c r="J457" s="1">
        <v>45705</v>
      </c>
      <c r="K457" s="1">
        <v>45783</v>
      </c>
      <c r="L457" t="s">
        <v>23</v>
      </c>
      <c r="M457">
        <f>tblInventory[[#This Row],[Unit Cost]]*tblInventory[[#This Row],[Quantity in Stock]]</f>
        <v>206712</v>
      </c>
    </row>
    <row r="458" spans="1:13" x14ac:dyDescent="0.2">
      <c r="A458" t="s">
        <v>507</v>
      </c>
      <c r="B458" t="s">
        <v>13</v>
      </c>
      <c r="C458" t="s">
        <v>14</v>
      </c>
      <c r="D458" t="s">
        <v>30</v>
      </c>
      <c r="E458">
        <v>229</v>
      </c>
      <c r="F458">
        <v>320.60000000000002</v>
      </c>
      <c r="G458">
        <v>256</v>
      </c>
      <c r="H458">
        <v>15</v>
      </c>
      <c r="I458" t="s">
        <v>16</v>
      </c>
      <c r="J458" s="1">
        <v>45829</v>
      </c>
      <c r="K458" s="1">
        <v>45907</v>
      </c>
      <c r="L458" t="s">
        <v>23</v>
      </c>
      <c r="M458">
        <f>tblInventory[[#This Row],[Unit Cost]]*tblInventory[[#This Row],[Quantity in Stock]]</f>
        <v>58624</v>
      </c>
    </row>
    <row r="459" spans="1:13" x14ac:dyDescent="0.2">
      <c r="A459" t="s">
        <v>508</v>
      </c>
      <c r="B459" t="s">
        <v>48</v>
      </c>
      <c r="C459" t="s">
        <v>14</v>
      </c>
      <c r="D459" t="s">
        <v>30</v>
      </c>
      <c r="E459">
        <v>330</v>
      </c>
      <c r="F459">
        <v>396</v>
      </c>
      <c r="G459">
        <v>194</v>
      </c>
      <c r="H459">
        <v>25</v>
      </c>
      <c r="I459" t="s">
        <v>43</v>
      </c>
      <c r="J459" s="1">
        <v>45831</v>
      </c>
      <c r="K459" s="1">
        <v>45844</v>
      </c>
      <c r="L459" t="s">
        <v>23</v>
      </c>
      <c r="M459">
        <f>tblInventory[[#This Row],[Unit Cost]]*tblInventory[[#This Row],[Quantity in Stock]]</f>
        <v>64020</v>
      </c>
    </row>
    <row r="460" spans="1:13" x14ac:dyDescent="0.2">
      <c r="A460" t="s">
        <v>509</v>
      </c>
      <c r="B460" t="s">
        <v>46</v>
      </c>
      <c r="C460" t="s">
        <v>14</v>
      </c>
      <c r="D460" t="s">
        <v>26</v>
      </c>
      <c r="E460">
        <v>356</v>
      </c>
      <c r="F460">
        <v>498.4</v>
      </c>
      <c r="G460">
        <v>29</v>
      </c>
      <c r="H460">
        <v>10</v>
      </c>
      <c r="I460" t="s">
        <v>43</v>
      </c>
      <c r="J460" s="1">
        <v>46044</v>
      </c>
      <c r="K460" s="1">
        <v>46114</v>
      </c>
      <c r="L460" t="s">
        <v>23</v>
      </c>
      <c r="M460">
        <f>tblInventory[[#This Row],[Unit Cost]]*tblInventory[[#This Row],[Quantity in Stock]]</f>
        <v>10324</v>
      </c>
    </row>
    <row r="461" spans="1:13" x14ac:dyDescent="0.2">
      <c r="A461" t="s">
        <v>510</v>
      </c>
      <c r="B461" t="s">
        <v>25</v>
      </c>
      <c r="C461" t="s">
        <v>14</v>
      </c>
      <c r="D461" t="s">
        <v>26</v>
      </c>
      <c r="E461">
        <v>191</v>
      </c>
      <c r="F461">
        <v>229.2</v>
      </c>
      <c r="G461">
        <v>246</v>
      </c>
      <c r="H461">
        <v>20</v>
      </c>
      <c r="I461" t="s">
        <v>16</v>
      </c>
      <c r="J461" s="1">
        <v>46005</v>
      </c>
      <c r="K461" s="1">
        <v>46042</v>
      </c>
      <c r="L461" t="s">
        <v>23</v>
      </c>
      <c r="M461">
        <f>tblInventory[[#This Row],[Unit Cost]]*tblInventory[[#This Row],[Quantity in Stock]]</f>
        <v>46986</v>
      </c>
    </row>
    <row r="462" spans="1:13" x14ac:dyDescent="0.2">
      <c r="A462" t="s">
        <v>511</v>
      </c>
      <c r="B462" t="s">
        <v>50</v>
      </c>
      <c r="C462" t="s">
        <v>34</v>
      </c>
      <c r="D462" t="s">
        <v>19</v>
      </c>
      <c r="E462">
        <v>340</v>
      </c>
      <c r="F462">
        <v>442</v>
      </c>
      <c r="G462">
        <v>78</v>
      </c>
      <c r="H462">
        <v>25</v>
      </c>
      <c r="I462" t="s">
        <v>43</v>
      </c>
      <c r="J462" s="1">
        <v>46128</v>
      </c>
      <c r="K462" s="1">
        <v>46155</v>
      </c>
      <c r="L462" t="s">
        <v>23</v>
      </c>
      <c r="M462">
        <f>tblInventory[[#This Row],[Unit Cost]]*tblInventory[[#This Row],[Quantity in Stock]]</f>
        <v>26520</v>
      </c>
    </row>
    <row r="463" spans="1:13" x14ac:dyDescent="0.2">
      <c r="A463" t="s">
        <v>512</v>
      </c>
      <c r="B463" t="s">
        <v>13</v>
      </c>
      <c r="C463" t="s">
        <v>14</v>
      </c>
      <c r="D463" t="s">
        <v>30</v>
      </c>
      <c r="E463">
        <v>215</v>
      </c>
      <c r="F463">
        <v>301</v>
      </c>
      <c r="G463">
        <v>170</v>
      </c>
      <c r="H463">
        <v>30</v>
      </c>
      <c r="I463" t="s">
        <v>43</v>
      </c>
      <c r="J463" s="1">
        <v>45954</v>
      </c>
      <c r="K463" s="1">
        <v>45980</v>
      </c>
      <c r="L463" t="s">
        <v>23</v>
      </c>
      <c r="M463">
        <f>tblInventory[[#This Row],[Unit Cost]]*tblInventory[[#This Row],[Quantity in Stock]]</f>
        <v>36550</v>
      </c>
    </row>
    <row r="464" spans="1:13" x14ac:dyDescent="0.2">
      <c r="A464" t="s">
        <v>513</v>
      </c>
      <c r="B464" t="s">
        <v>57</v>
      </c>
      <c r="C464" t="s">
        <v>29</v>
      </c>
      <c r="D464" t="s">
        <v>35</v>
      </c>
      <c r="E464">
        <v>340</v>
      </c>
      <c r="F464">
        <v>408</v>
      </c>
      <c r="G464">
        <v>203</v>
      </c>
      <c r="H464">
        <v>40</v>
      </c>
      <c r="I464" t="s">
        <v>43</v>
      </c>
      <c r="J464" s="1">
        <v>46043</v>
      </c>
      <c r="K464" s="1">
        <v>46110</v>
      </c>
      <c r="L464" t="s">
        <v>23</v>
      </c>
      <c r="M464">
        <f>tblInventory[[#This Row],[Unit Cost]]*tblInventory[[#This Row],[Quantity in Stock]]</f>
        <v>69020</v>
      </c>
    </row>
    <row r="465" spans="1:13" x14ac:dyDescent="0.2">
      <c r="A465" t="s">
        <v>514</v>
      </c>
      <c r="B465" t="s">
        <v>28</v>
      </c>
      <c r="C465" t="s">
        <v>29</v>
      </c>
      <c r="D465" t="s">
        <v>19</v>
      </c>
      <c r="E465">
        <v>598</v>
      </c>
      <c r="F465">
        <v>777.4</v>
      </c>
      <c r="G465">
        <v>85</v>
      </c>
      <c r="H465">
        <v>10</v>
      </c>
      <c r="I465" t="s">
        <v>16</v>
      </c>
      <c r="J465" s="1">
        <v>45765</v>
      </c>
      <c r="K465" s="1">
        <v>45771</v>
      </c>
      <c r="L465" t="s">
        <v>23</v>
      </c>
      <c r="M465">
        <f>tblInventory[[#This Row],[Unit Cost]]*tblInventory[[#This Row],[Quantity in Stock]]</f>
        <v>50830</v>
      </c>
    </row>
    <row r="466" spans="1:13" x14ac:dyDescent="0.2">
      <c r="A466" t="s">
        <v>515</v>
      </c>
      <c r="B466" t="s">
        <v>33</v>
      </c>
      <c r="C466" t="s">
        <v>34</v>
      </c>
      <c r="D466" t="s">
        <v>15</v>
      </c>
      <c r="E466">
        <v>372</v>
      </c>
      <c r="F466">
        <v>558</v>
      </c>
      <c r="G466">
        <v>183</v>
      </c>
      <c r="H466">
        <v>30</v>
      </c>
      <c r="I466" t="s">
        <v>43</v>
      </c>
      <c r="J466" s="1">
        <v>45871</v>
      </c>
      <c r="K466" s="1">
        <v>45882</v>
      </c>
      <c r="L466" t="s">
        <v>23</v>
      </c>
      <c r="M466">
        <f>tblInventory[[#This Row],[Unit Cost]]*tblInventory[[#This Row],[Quantity in Stock]]</f>
        <v>68076</v>
      </c>
    </row>
    <row r="467" spans="1:13" x14ac:dyDescent="0.2">
      <c r="A467" t="s">
        <v>516</v>
      </c>
      <c r="B467" t="s">
        <v>70</v>
      </c>
      <c r="C467" t="s">
        <v>14</v>
      </c>
      <c r="D467" t="s">
        <v>35</v>
      </c>
      <c r="E467">
        <v>545</v>
      </c>
      <c r="F467">
        <v>817.5</v>
      </c>
      <c r="G467">
        <v>151</v>
      </c>
      <c r="H467">
        <v>20</v>
      </c>
      <c r="I467" t="s">
        <v>43</v>
      </c>
      <c r="J467" s="1">
        <v>45771</v>
      </c>
      <c r="K467" s="1">
        <v>45825</v>
      </c>
      <c r="L467" t="s">
        <v>23</v>
      </c>
      <c r="M467">
        <f>tblInventory[[#This Row],[Unit Cost]]*tblInventory[[#This Row],[Quantity in Stock]]</f>
        <v>82295</v>
      </c>
    </row>
    <row r="468" spans="1:13" x14ac:dyDescent="0.2">
      <c r="A468" t="s">
        <v>517</v>
      </c>
      <c r="B468" t="s">
        <v>28</v>
      </c>
      <c r="C468" t="s">
        <v>29</v>
      </c>
      <c r="D468" t="s">
        <v>40</v>
      </c>
      <c r="E468">
        <v>48</v>
      </c>
      <c r="F468">
        <v>57.6</v>
      </c>
      <c r="G468">
        <v>299</v>
      </c>
      <c r="H468">
        <v>30</v>
      </c>
      <c r="I468" t="s">
        <v>31</v>
      </c>
      <c r="J468" s="1">
        <v>46040</v>
      </c>
      <c r="K468" s="1">
        <v>46049</v>
      </c>
      <c r="L468" t="s">
        <v>23</v>
      </c>
      <c r="M468">
        <f>tblInventory[[#This Row],[Unit Cost]]*tblInventory[[#This Row],[Quantity in Stock]]</f>
        <v>14352</v>
      </c>
    </row>
    <row r="469" spans="1:13" x14ac:dyDescent="0.2">
      <c r="A469" t="s">
        <v>518</v>
      </c>
      <c r="B469" t="s">
        <v>74</v>
      </c>
      <c r="C469" t="s">
        <v>29</v>
      </c>
      <c r="D469" t="s">
        <v>19</v>
      </c>
      <c r="E469">
        <v>276</v>
      </c>
      <c r="F469">
        <v>386.4</v>
      </c>
      <c r="G469">
        <v>161</v>
      </c>
      <c r="H469">
        <v>20</v>
      </c>
      <c r="I469" t="s">
        <v>16</v>
      </c>
      <c r="J469" s="1">
        <v>46141</v>
      </c>
      <c r="K469" s="1">
        <v>46191</v>
      </c>
      <c r="L469" t="s">
        <v>23</v>
      </c>
      <c r="M469">
        <f>tblInventory[[#This Row],[Unit Cost]]*tblInventory[[#This Row],[Quantity in Stock]]</f>
        <v>44436</v>
      </c>
    </row>
    <row r="470" spans="1:13" x14ac:dyDescent="0.2">
      <c r="A470" t="s">
        <v>519</v>
      </c>
      <c r="B470" t="s">
        <v>60</v>
      </c>
      <c r="C470" t="s">
        <v>34</v>
      </c>
      <c r="D470" t="s">
        <v>19</v>
      </c>
      <c r="E470">
        <v>329</v>
      </c>
      <c r="F470">
        <v>427.7</v>
      </c>
      <c r="G470">
        <v>296</v>
      </c>
      <c r="H470">
        <v>15</v>
      </c>
      <c r="I470" t="s">
        <v>31</v>
      </c>
      <c r="J470" s="1">
        <v>45801</v>
      </c>
      <c r="K470" s="1">
        <v>45839</v>
      </c>
      <c r="L470" t="s">
        <v>23</v>
      </c>
      <c r="M470">
        <f>tblInventory[[#This Row],[Unit Cost]]*tblInventory[[#This Row],[Quantity in Stock]]</f>
        <v>97384</v>
      </c>
    </row>
    <row r="471" spans="1:13" x14ac:dyDescent="0.2">
      <c r="A471" t="s">
        <v>520</v>
      </c>
      <c r="B471" t="s">
        <v>28</v>
      </c>
      <c r="C471" t="s">
        <v>29</v>
      </c>
      <c r="D471" t="s">
        <v>15</v>
      </c>
      <c r="E471">
        <v>324</v>
      </c>
      <c r="F471">
        <v>486</v>
      </c>
      <c r="G471">
        <v>256</v>
      </c>
      <c r="H471">
        <v>15</v>
      </c>
      <c r="I471" t="s">
        <v>31</v>
      </c>
      <c r="J471" s="1">
        <v>45983</v>
      </c>
      <c r="K471" s="1">
        <v>46013</v>
      </c>
      <c r="L471" t="s">
        <v>23</v>
      </c>
      <c r="M471">
        <f>tblInventory[[#This Row],[Unit Cost]]*tblInventory[[#This Row],[Quantity in Stock]]</f>
        <v>82944</v>
      </c>
    </row>
    <row r="472" spans="1:13" x14ac:dyDescent="0.2">
      <c r="A472" t="s">
        <v>521</v>
      </c>
      <c r="B472" t="s">
        <v>70</v>
      </c>
      <c r="C472" t="s">
        <v>14</v>
      </c>
      <c r="D472" t="s">
        <v>15</v>
      </c>
      <c r="E472">
        <v>590</v>
      </c>
      <c r="F472">
        <v>826</v>
      </c>
      <c r="G472">
        <v>255</v>
      </c>
      <c r="H472">
        <v>50</v>
      </c>
      <c r="I472" t="s">
        <v>43</v>
      </c>
      <c r="J472" s="1">
        <v>46060</v>
      </c>
      <c r="K472" s="1">
        <v>46082</v>
      </c>
      <c r="L472" t="s">
        <v>23</v>
      </c>
      <c r="M472">
        <f>tblInventory[[#This Row],[Unit Cost]]*tblInventory[[#This Row],[Quantity in Stock]]</f>
        <v>150450</v>
      </c>
    </row>
    <row r="473" spans="1:13" x14ac:dyDescent="0.2">
      <c r="A473" t="s">
        <v>522</v>
      </c>
      <c r="B473" t="s">
        <v>65</v>
      </c>
      <c r="C473" t="s">
        <v>22</v>
      </c>
      <c r="D473" t="s">
        <v>40</v>
      </c>
      <c r="E473">
        <v>7</v>
      </c>
      <c r="F473">
        <v>9.8000000000000007</v>
      </c>
      <c r="G473">
        <v>16</v>
      </c>
      <c r="H473">
        <v>40</v>
      </c>
      <c r="I473" t="s">
        <v>16</v>
      </c>
      <c r="J473" s="1">
        <v>46054</v>
      </c>
      <c r="K473" s="1">
        <v>46122</v>
      </c>
      <c r="L473" t="s">
        <v>17</v>
      </c>
      <c r="M473">
        <f>tblInventory[[#This Row],[Unit Cost]]*tblInventory[[#This Row],[Quantity in Stock]]</f>
        <v>112</v>
      </c>
    </row>
    <row r="474" spans="1:13" x14ac:dyDescent="0.2">
      <c r="A474" t="s">
        <v>523</v>
      </c>
      <c r="B474" t="s">
        <v>57</v>
      </c>
      <c r="C474" t="s">
        <v>29</v>
      </c>
      <c r="D474" t="s">
        <v>35</v>
      </c>
      <c r="E474">
        <v>184</v>
      </c>
      <c r="F474">
        <v>257.60000000000002</v>
      </c>
      <c r="G474">
        <v>30</v>
      </c>
      <c r="H474">
        <v>40</v>
      </c>
      <c r="I474" t="s">
        <v>31</v>
      </c>
      <c r="J474" s="1">
        <v>46020</v>
      </c>
      <c r="K474" s="1">
        <v>46063</v>
      </c>
      <c r="L474" t="s">
        <v>17</v>
      </c>
      <c r="M474">
        <f>tblInventory[[#This Row],[Unit Cost]]*tblInventory[[#This Row],[Quantity in Stock]]</f>
        <v>5520</v>
      </c>
    </row>
    <row r="475" spans="1:13" x14ac:dyDescent="0.2">
      <c r="A475" t="s">
        <v>524</v>
      </c>
      <c r="B475" t="s">
        <v>21</v>
      </c>
      <c r="C475" t="s">
        <v>22</v>
      </c>
      <c r="D475" t="s">
        <v>15</v>
      </c>
      <c r="E475">
        <v>508</v>
      </c>
      <c r="F475">
        <v>609.6</v>
      </c>
      <c r="G475">
        <v>200</v>
      </c>
      <c r="H475">
        <v>25</v>
      </c>
      <c r="I475" t="s">
        <v>16</v>
      </c>
      <c r="J475" s="1">
        <v>45985</v>
      </c>
      <c r="K475" s="1">
        <v>46000</v>
      </c>
      <c r="L475" t="s">
        <v>23</v>
      </c>
      <c r="M475">
        <f>tblInventory[[#This Row],[Unit Cost]]*tblInventory[[#This Row],[Quantity in Stock]]</f>
        <v>101600</v>
      </c>
    </row>
    <row r="476" spans="1:13" x14ac:dyDescent="0.2">
      <c r="A476" t="s">
        <v>525</v>
      </c>
      <c r="B476" t="s">
        <v>63</v>
      </c>
      <c r="C476" t="s">
        <v>22</v>
      </c>
      <c r="D476" t="s">
        <v>19</v>
      </c>
      <c r="E476">
        <v>117</v>
      </c>
      <c r="F476">
        <v>175.5</v>
      </c>
      <c r="G476">
        <v>43</v>
      </c>
      <c r="H476">
        <v>10</v>
      </c>
      <c r="I476" t="s">
        <v>16</v>
      </c>
      <c r="J476" s="1">
        <v>46121</v>
      </c>
      <c r="K476" s="1">
        <v>46195</v>
      </c>
      <c r="L476" t="s">
        <v>23</v>
      </c>
      <c r="M476">
        <f>tblInventory[[#This Row],[Unit Cost]]*tblInventory[[#This Row],[Quantity in Stock]]</f>
        <v>5031</v>
      </c>
    </row>
    <row r="477" spans="1:13" x14ac:dyDescent="0.2">
      <c r="A477" t="s">
        <v>526</v>
      </c>
      <c r="B477" t="s">
        <v>70</v>
      </c>
      <c r="C477" t="s">
        <v>14</v>
      </c>
      <c r="D477" t="s">
        <v>30</v>
      </c>
      <c r="E477">
        <v>170</v>
      </c>
      <c r="F477">
        <v>204</v>
      </c>
      <c r="G477">
        <v>260</v>
      </c>
      <c r="H477">
        <v>40</v>
      </c>
      <c r="I477" t="s">
        <v>43</v>
      </c>
      <c r="J477" s="1">
        <v>46035</v>
      </c>
      <c r="K477" s="1">
        <v>46069</v>
      </c>
      <c r="L477" t="s">
        <v>23</v>
      </c>
      <c r="M477">
        <f>tblInventory[[#This Row],[Unit Cost]]*tblInventory[[#This Row],[Quantity in Stock]]</f>
        <v>44200</v>
      </c>
    </row>
    <row r="478" spans="1:13" x14ac:dyDescent="0.2">
      <c r="A478" t="s">
        <v>527</v>
      </c>
      <c r="B478" t="s">
        <v>74</v>
      </c>
      <c r="C478" t="s">
        <v>29</v>
      </c>
      <c r="D478" t="s">
        <v>19</v>
      </c>
      <c r="E478">
        <v>390</v>
      </c>
      <c r="F478">
        <v>507</v>
      </c>
      <c r="G478">
        <v>28</v>
      </c>
      <c r="H478">
        <v>40</v>
      </c>
      <c r="I478" t="s">
        <v>16</v>
      </c>
      <c r="J478" s="1">
        <v>45996</v>
      </c>
      <c r="K478" s="1">
        <v>46001</v>
      </c>
      <c r="L478" t="s">
        <v>17</v>
      </c>
      <c r="M478">
        <f>tblInventory[[#This Row],[Unit Cost]]*tblInventory[[#This Row],[Quantity in Stock]]</f>
        <v>10920</v>
      </c>
    </row>
    <row r="479" spans="1:13" x14ac:dyDescent="0.2">
      <c r="A479" t="s">
        <v>528</v>
      </c>
      <c r="B479" t="s">
        <v>57</v>
      </c>
      <c r="C479" t="s">
        <v>29</v>
      </c>
      <c r="D479" t="s">
        <v>30</v>
      </c>
      <c r="E479">
        <v>686</v>
      </c>
      <c r="F479">
        <v>823.2</v>
      </c>
      <c r="G479">
        <v>104</v>
      </c>
      <c r="H479">
        <v>25</v>
      </c>
      <c r="I479" t="s">
        <v>43</v>
      </c>
      <c r="J479" s="1">
        <v>45930</v>
      </c>
      <c r="K479" s="1">
        <v>45930</v>
      </c>
      <c r="L479" t="s">
        <v>23</v>
      </c>
      <c r="M479">
        <f>tblInventory[[#This Row],[Unit Cost]]*tblInventory[[#This Row],[Quantity in Stock]]</f>
        <v>71344</v>
      </c>
    </row>
    <row r="480" spans="1:13" x14ac:dyDescent="0.2">
      <c r="A480" t="s">
        <v>529</v>
      </c>
      <c r="B480" t="s">
        <v>63</v>
      </c>
      <c r="C480" t="s">
        <v>22</v>
      </c>
      <c r="D480" t="s">
        <v>15</v>
      </c>
      <c r="E480">
        <v>512</v>
      </c>
      <c r="F480">
        <v>614.4</v>
      </c>
      <c r="G480">
        <v>127</v>
      </c>
      <c r="H480">
        <v>50</v>
      </c>
      <c r="I480" t="s">
        <v>16</v>
      </c>
      <c r="J480" s="1">
        <v>46009</v>
      </c>
      <c r="K480" s="1">
        <v>46086</v>
      </c>
      <c r="L480" t="s">
        <v>23</v>
      </c>
      <c r="M480">
        <f>tblInventory[[#This Row],[Unit Cost]]*tblInventory[[#This Row],[Quantity in Stock]]</f>
        <v>65024</v>
      </c>
    </row>
    <row r="481" spans="1:13" x14ac:dyDescent="0.2">
      <c r="A481" t="s">
        <v>530</v>
      </c>
      <c r="B481" t="s">
        <v>161</v>
      </c>
      <c r="C481" t="s">
        <v>34</v>
      </c>
      <c r="D481" t="s">
        <v>40</v>
      </c>
      <c r="E481">
        <v>450</v>
      </c>
      <c r="F481">
        <v>630</v>
      </c>
      <c r="G481">
        <v>265</v>
      </c>
      <c r="H481">
        <v>15</v>
      </c>
      <c r="I481" t="s">
        <v>43</v>
      </c>
      <c r="J481" s="1">
        <v>45762</v>
      </c>
      <c r="K481" s="1">
        <v>45775</v>
      </c>
      <c r="L481" t="s">
        <v>23</v>
      </c>
      <c r="M481">
        <f>tblInventory[[#This Row],[Unit Cost]]*tblInventory[[#This Row],[Quantity in Stock]]</f>
        <v>119250</v>
      </c>
    </row>
    <row r="482" spans="1:13" x14ac:dyDescent="0.2">
      <c r="A482" t="s">
        <v>531</v>
      </c>
      <c r="B482" t="s">
        <v>48</v>
      </c>
      <c r="C482" t="s">
        <v>14</v>
      </c>
      <c r="D482" t="s">
        <v>26</v>
      </c>
      <c r="E482">
        <v>51</v>
      </c>
      <c r="F482">
        <v>76.5</v>
      </c>
      <c r="G482">
        <v>234</v>
      </c>
      <c r="H482">
        <v>30</v>
      </c>
      <c r="I482" t="s">
        <v>31</v>
      </c>
      <c r="J482" s="1">
        <v>46010</v>
      </c>
      <c r="K482" s="1">
        <v>46049</v>
      </c>
      <c r="L482" t="s">
        <v>23</v>
      </c>
      <c r="M482">
        <f>tblInventory[[#This Row],[Unit Cost]]*tblInventory[[#This Row],[Quantity in Stock]]</f>
        <v>11934</v>
      </c>
    </row>
    <row r="483" spans="1:13" x14ac:dyDescent="0.2">
      <c r="A483" t="s">
        <v>532</v>
      </c>
      <c r="B483" t="s">
        <v>68</v>
      </c>
      <c r="C483" t="s">
        <v>34</v>
      </c>
      <c r="D483" t="s">
        <v>30</v>
      </c>
      <c r="E483">
        <v>147</v>
      </c>
      <c r="F483">
        <v>205.8</v>
      </c>
      <c r="G483">
        <v>65</v>
      </c>
      <c r="H483">
        <v>30</v>
      </c>
      <c r="I483" t="s">
        <v>31</v>
      </c>
      <c r="J483" s="1">
        <v>45675</v>
      </c>
      <c r="K483" s="1">
        <v>45720</v>
      </c>
      <c r="L483" t="s">
        <v>23</v>
      </c>
      <c r="M483">
        <f>tblInventory[[#This Row],[Unit Cost]]*tblInventory[[#This Row],[Quantity in Stock]]</f>
        <v>9555</v>
      </c>
    </row>
    <row r="484" spans="1:13" x14ac:dyDescent="0.2">
      <c r="A484" t="s">
        <v>533</v>
      </c>
      <c r="B484" t="s">
        <v>70</v>
      </c>
      <c r="C484" t="s">
        <v>14</v>
      </c>
      <c r="D484" t="s">
        <v>19</v>
      </c>
      <c r="E484">
        <v>213</v>
      </c>
      <c r="F484">
        <v>298.2</v>
      </c>
      <c r="G484">
        <v>271</v>
      </c>
      <c r="H484">
        <v>20</v>
      </c>
      <c r="I484" t="s">
        <v>16</v>
      </c>
      <c r="J484" s="1">
        <v>45924</v>
      </c>
      <c r="K484" s="1">
        <v>46008</v>
      </c>
      <c r="L484" t="s">
        <v>23</v>
      </c>
      <c r="M484">
        <f>tblInventory[[#This Row],[Unit Cost]]*tblInventory[[#This Row],[Quantity in Stock]]</f>
        <v>57723</v>
      </c>
    </row>
    <row r="485" spans="1:13" x14ac:dyDescent="0.2">
      <c r="A485" t="s">
        <v>534</v>
      </c>
      <c r="B485" t="s">
        <v>74</v>
      </c>
      <c r="C485" t="s">
        <v>29</v>
      </c>
      <c r="D485" t="s">
        <v>19</v>
      </c>
      <c r="E485">
        <v>32</v>
      </c>
      <c r="F485">
        <v>44.8</v>
      </c>
      <c r="G485">
        <v>59</v>
      </c>
      <c r="H485">
        <v>30</v>
      </c>
      <c r="I485" t="s">
        <v>43</v>
      </c>
      <c r="J485" s="1">
        <v>45760</v>
      </c>
      <c r="K485" s="1">
        <v>45797</v>
      </c>
      <c r="L485" t="s">
        <v>23</v>
      </c>
      <c r="M485">
        <f>tblInventory[[#This Row],[Unit Cost]]*tblInventory[[#This Row],[Quantity in Stock]]</f>
        <v>1888</v>
      </c>
    </row>
    <row r="486" spans="1:13" x14ac:dyDescent="0.2">
      <c r="A486" t="s">
        <v>535</v>
      </c>
      <c r="B486" t="s">
        <v>33</v>
      </c>
      <c r="C486" t="s">
        <v>34</v>
      </c>
      <c r="D486" t="s">
        <v>26</v>
      </c>
      <c r="E486">
        <v>615</v>
      </c>
      <c r="F486">
        <v>861</v>
      </c>
      <c r="G486">
        <v>175</v>
      </c>
      <c r="H486">
        <v>15</v>
      </c>
      <c r="I486" t="s">
        <v>43</v>
      </c>
      <c r="J486" s="1">
        <v>46113</v>
      </c>
      <c r="K486" s="1">
        <v>46174</v>
      </c>
      <c r="L486" t="s">
        <v>23</v>
      </c>
      <c r="M486">
        <f>tblInventory[[#This Row],[Unit Cost]]*tblInventory[[#This Row],[Quantity in Stock]]</f>
        <v>107625</v>
      </c>
    </row>
    <row r="487" spans="1:13" x14ac:dyDescent="0.2">
      <c r="A487" t="s">
        <v>536</v>
      </c>
      <c r="B487" t="s">
        <v>25</v>
      </c>
      <c r="C487" t="s">
        <v>14</v>
      </c>
      <c r="D487" t="s">
        <v>26</v>
      </c>
      <c r="E487">
        <v>132</v>
      </c>
      <c r="F487">
        <v>198</v>
      </c>
      <c r="G487">
        <v>112</v>
      </c>
      <c r="H487">
        <v>30</v>
      </c>
      <c r="I487" t="s">
        <v>31</v>
      </c>
      <c r="J487" s="1">
        <v>46135</v>
      </c>
      <c r="K487" s="1">
        <v>46154</v>
      </c>
      <c r="L487" t="s">
        <v>23</v>
      </c>
      <c r="M487">
        <f>tblInventory[[#This Row],[Unit Cost]]*tblInventory[[#This Row],[Quantity in Stock]]</f>
        <v>14784</v>
      </c>
    </row>
    <row r="488" spans="1:13" x14ac:dyDescent="0.2">
      <c r="A488" t="s">
        <v>537</v>
      </c>
      <c r="B488" t="s">
        <v>104</v>
      </c>
      <c r="C488" t="s">
        <v>29</v>
      </c>
      <c r="D488" t="s">
        <v>26</v>
      </c>
      <c r="E488">
        <v>341</v>
      </c>
      <c r="F488">
        <v>477.4</v>
      </c>
      <c r="G488">
        <v>217</v>
      </c>
      <c r="H488">
        <v>15</v>
      </c>
      <c r="I488" t="s">
        <v>31</v>
      </c>
      <c r="J488" s="1">
        <v>45863</v>
      </c>
      <c r="K488" s="1">
        <v>45909</v>
      </c>
      <c r="L488" t="s">
        <v>23</v>
      </c>
      <c r="M488">
        <f>tblInventory[[#This Row],[Unit Cost]]*tblInventory[[#This Row],[Quantity in Stock]]</f>
        <v>73997</v>
      </c>
    </row>
    <row r="489" spans="1:13" x14ac:dyDescent="0.2">
      <c r="A489" t="s">
        <v>538</v>
      </c>
      <c r="B489" t="s">
        <v>50</v>
      </c>
      <c r="C489" t="s">
        <v>34</v>
      </c>
      <c r="D489" t="s">
        <v>19</v>
      </c>
      <c r="E489">
        <v>100</v>
      </c>
      <c r="F489">
        <v>120</v>
      </c>
      <c r="G489">
        <v>155</v>
      </c>
      <c r="H489">
        <v>40</v>
      </c>
      <c r="I489" t="s">
        <v>43</v>
      </c>
      <c r="J489" s="1">
        <v>46092</v>
      </c>
      <c r="K489" s="1">
        <v>46156</v>
      </c>
      <c r="L489" t="s">
        <v>23</v>
      </c>
      <c r="M489">
        <f>tblInventory[[#This Row],[Unit Cost]]*tblInventory[[#This Row],[Quantity in Stock]]</f>
        <v>15500</v>
      </c>
    </row>
    <row r="490" spans="1:13" x14ac:dyDescent="0.2">
      <c r="A490" t="s">
        <v>539</v>
      </c>
      <c r="B490" t="s">
        <v>153</v>
      </c>
      <c r="C490" t="s">
        <v>34</v>
      </c>
      <c r="D490" t="s">
        <v>40</v>
      </c>
      <c r="E490">
        <v>150</v>
      </c>
      <c r="F490">
        <v>210</v>
      </c>
      <c r="G490">
        <v>39</v>
      </c>
      <c r="H490">
        <v>20</v>
      </c>
      <c r="I490" t="s">
        <v>31</v>
      </c>
      <c r="J490" s="1">
        <v>46167</v>
      </c>
      <c r="K490" s="1">
        <v>46194</v>
      </c>
      <c r="L490" t="s">
        <v>23</v>
      </c>
      <c r="M490">
        <f>tblInventory[[#This Row],[Unit Cost]]*tblInventory[[#This Row],[Quantity in Stock]]</f>
        <v>5850</v>
      </c>
    </row>
    <row r="491" spans="1:13" x14ac:dyDescent="0.2">
      <c r="A491" t="s">
        <v>540</v>
      </c>
      <c r="B491" t="s">
        <v>74</v>
      </c>
      <c r="C491" t="s">
        <v>29</v>
      </c>
      <c r="D491" t="s">
        <v>19</v>
      </c>
      <c r="E491">
        <v>689</v>
      </c>
      <c r="F491">
        <v>895.7</v>
      </c>
      <c r="G491">
        <v>49</v>
      </c>
      <c r="H491">
        <v>15</v>
      </c>
      <c r="I491" t="s">
        <v>43</v>
      </c>
      <c r="J491" s="1">
        <v>45710</v>
      </c>
      <c r="K491" s="1">
        <v>45746</v>
      </c>
      <c r="L491" t="s">
        <v>23</v>
      </c>
      <c r="M491">
        <f>tblInventory[[#This Row],[Unit Cost]]*tblInventory[[#This Row],[Quantity in Stock]]</f>
        <v>33761</v>
      </c>
    </row>
    <row r="492" spans="1:13" x14ac:dyDescent="0.2">
      <c r="A492" t="s">
        <v>541</v>
      </c>
      <c r="B492" t="s">
        <v>33</v>
      </c>
      <c r="C492" t="s">
        <v>34</v>
      </c>
      <c r="D492" t="s">
        <v>30</v>
      </c>
      <c r="E492">
        <v>243</v>
      </c>
      <c r="F492">
        <v>315.89999999999998</v>
      </c>
      <c r="G492">
        <v>134</v>
      </c>
      <c r="H492">
        <v>20</v>
      </c>
      <c r="I492" t="s">
        <v>43</v>
      </c>
      <c r="J492" s="1">
        <v>46143</v>
      </c>
      <c r="K492" s="1">
        <v>46232</v>
      </c>
      <c r="L492" t="s">
        <v>23</v>
      </c>
      <c r="M492">
        <f>tblInventory[[#This Row],[Unit Cost]]*tblInventory[[#This Row],[Quantity in Stock]]</f>
        <v>32562</v>
      </c>
    </row>
    <row r="493" spans="1:13" x14ac:dyDescent="0.2">
      <c r="A493" t="s">
        <v>542</v>
      </c>
      <c r="B493" t="s">
        <v>87</v>
      </c>
      <c r="C493" t="s">
        <v>29</v>
      </c>
      <c r="D493" t="s">
        <v>35</v>
      </c>
      <c r="E493">
        <v>130</v>
      </c>
      <c r="F493">
        <v>156</v>
      </c>
      <c r="G493">
        <v>81</v>
      </c>
      <c r="H493">
        <v>40</v>
      </c>
      <c r="I493" t="s">
        <v>16</v>
      </c>
      <c r="J493" s="1">
        <v>45826</v>
      </c>
      <c r="K493" s="1">
        <v>45904</v>
      </c>
      <c r="L493" t="s">
        <v>23</v>
      </c>
      <c r="M493">
        <f>tblInventory[[#This Row],[Unit Cost]]*tblInventory[[#This Row],[Quantity in Stock]]</f>
        <v>10530</v>
      </c>
    </row>
    <row r="494" spans="1:13" x14ac:dyDescent="0.2">
      <c r="A494" t="s">
        <v>543</v>
      </c>
      <c r="B494" t="s">
        <v>46</v>
      </c>
      <c r="C494" t="s">
        <v>14</v>
      </c>
      <c r="D494" t="s">
        <v>19</v>
      </c>
      <c r="E494">
        <v>632</v>
      </c>
      <c r="F494">
        <v>758.4</v>
      </c>
      <c r="G494">
        <v>124</v>
      </c>
      <c r="H494">
        <v>50</v>
      </c>
      <c r="I494" t="s">
        <v>43</v>
      </c>
      <c r="J494" s="1">
        <v>46073</v>
      </c>
      <c r="K494" s="1">
        <v>46093</v>
      </c>
      <c r="L494" t="s">
        <v>23</v>
      </c>
      <c r="M494">
        <f>tblInventory[[#This Row],[Unit Cost]]*tblInventory[[#This Row],[Quantity in Stock]]</f>
        <v>78368</v>
      </c>
    </row>
    <row r="495" spans="1:13" x14ac:dyDescent="0.2">
      <c r="A495" t="s">
        <v>544</v>
      </c>
      <c r="B495" t="s">
        <v>25</v>
      </c>
      <c r="C495" t="s">
        <v>14</v>
      </c>
      <c r="D495" t="s">
        <v>26</v>
      </c>
      <c r="E495">
        <v>516</v>
      </c>
      <c r="F495">
        <v>722.4</v>
      </c>
      <c r="G495">
        <v>99</v>
      </c>
      <c r="H495">
        <v>15</v>
      </c>
      <c r="I495" t="s">
        <v>43</v>
      </c>
      <c r="J495" s="1">
        <v>45849</v>
      </c>
      <c r="K495" s="1">
        <v>45933</v>
      </c>
      <c r="L495" t="s">
        <v>23</v>
      </c>
      <c r="M495">
        <f>tblInventory[[#This Row],[Unit Cost]]*tblInventory[[#This Row],[Quantity in Stock]]</f>
        <v>51084</v>
      </c>
    </row>
    <row r="496" spans="1:13" x14ac:dyDescent="0.2">
      <c r="A496" t="s">
        <v>545</v>
      </c>
      <c r="B496" t="s">
        <v>87</v>
      </c>
      <c r="C496" t="s">
        <v>29</v>
      </c>
      <c r="D496" t="s">
        <v>15</v>
      </c>
      <c r="E496">
        <v>47</v>
      </c>
      <c r="F496">
        <v>70.5</v>
      </c>
      <c r="G496">
        <v>270</v>
      </c>
      <c r="H496">
        <v>25</v>
      </c>
      <c r="I496" t="s">
        <v>16</v>
      </c>
      <c r="J496" s="1">
        <v>45854</v>
      </c>
      <c r="K496" s="1">
        <v>45870</v>
      </c>
      <c r="L496" t="s">
        <v>23</v>
      </c>
      <c r="M496">
        <f>tblInventory[[#This Row],[Unit Cost]]*tblInventory[[#This Row],[Quantity in Stock]]</f>
        <v>12690</v>
      </c>
    </row>
    <row r="497" spans="1:13" x14ac:dyDescent="0.2">
      <c r="A497" t="s">
        <v>546</v>
      </c>
      <c r="B497" t="s">
        <v>28</v>
      </c>
      <c r="C497" t="s">
        <v>29</v>
      </c>
      <c r="D497" t="s">
        <v>15</v>
      </c>
      <c r="E497">
        <v>186</v>
      </c>
      <c r="F497">
        <v>260.39999999999998</v>
      </c>
      <c r="G497">
        <v>21</v>
      </c>
      <c r="H497">
        <v>25</v>
      </c>
      <c r="I497" t="s">
        <v>31</v>
      </c>
      <c r="J497" s="1">
        <v>45854</v>
      </c>
      <c r="K497" s="1">
        <v>45910</v>
      </c>
      <c r="L497" t="s">
        <v>17</v>
      </c>
      <c r="M497">
        <f>tblInventory[[#This Row],[Unit Cost]]*tblInventory[[#This Row],[Quantity in Stock]]</f>
        <v>3906</v>
      </c>
    </row>
    <row r="498" spans="1:13" x14ac:dyDescent="0.2">
      <c r="A498" t="s">
        <v>547</v>
      </c>
      <c r="B498" t="s">
        <v>52</v>
      </c>
      <c r="C498" t="s">
        <v>22</v>
      </c>
      <c r="D498" t="s">
        <v>26</v>
      </c>
      <c r="E498">
        <v>35</v>
      </c>
      <c r="F498">
        <v>49</v>
      </c>
      <c r="G498">
        <v>141</v>
      </c>
      <c r="H498">
        <v>10</v>
      </c>
      <c r="I498" t="s">
        <v>16</v>
      </c>
      <c r="J498" s="1">
        <v>45681</v>
      </c>
      <c r="K498" s="1">
        <v>45755</v>
      </c>
      <c r="L498" t="s">
        <v>23</v>
      </c>
      <c r="M498">
        <f>tblInventory[[#This Row],[Unit Cost]]*tblInventory[[#This Row],[Quantity in Stock]]</f>
        <v>4935</v>
      </c>
    </row>
    <row r="499" spans="1:13" x14ac:dyDescent="0.2">
      <c r="A499" t="s">
        <v>548</v>
      </c>
      <c r="B499" t="s">
        <v>68</v>
      </c>
      <c r="C499" t="s">
        <v>34</v>
      </c>
      <c r="D499" t="s">
        <v>26</v>
      </c>
      <c r="E499">
        <v>188</v>
      </c>
      <c r="F499">
        <v>244.4</v>
      </c>
      <c r="G499">
        <v>187</v>
      </c>
      <c r="H499">
        <v>50</v>
      </c>
      <c r="I499" t="s">
        <v>31</v>
      </c>
      <c r="J499" s="1">
        <v>45934</v>
      </c>
      <c r="K499" s="1">
        <v>45952</v>
      </c>
      <c r="L499" t="s">
        <v>23</v>
      </c>
      <c r="M499">
        <f>tblInventory[[#This Row],[Unit Cost]]*tblInventory[[#This Row],[Quantity in Stock]]</f>
        <v>35156</v>
      </c>
    </row>
    <row r="500" spans="1:13" x14ac:dyDescent="0.2">
      <c r="A500" t="s">
        <v>549</v>
      </c>
      <c r="B500" t="s">
        <v>116</v>
      </c>
      <c r="C500" t="s">
        <v>22</v>
      </c>
      <c r="D500" t="s">
        <v>30</v>
      </c>
      <c r="E500">
        <v>556</v>
      </c>
      <c r="F500">
        <v>722.8</v>
      </c>
      <c r="G500">
        <v>92</v>
      </c>
      <c r="H500">
        <v>30</v>
      </c>
      <c r="I500" t="s">
        <v>16</v>
      </c>
      <c r="J500" s="1">
        <v>45678</v>
      </c>
      <c r="K500" s="1">
        <v>45746</v>
      </c>
      <c r="L500" t="s">
        <v>23</v>
      </c>
      <c r="M500">
        <f>tblInventory[[#This Row],[Unit Cost]]*tblInventory[[#This Row],[Quantity in Stock]]</f>
        <v>51152</v>
      </c>
    </row>
    <row r="501" spans="1:13" x14ac:dyDescent="0.2">
      <c r="A501" t="s">
        <v>550</v>
      </c>
      <c r="B501" t="s">
        <v>60</v>
      </c>
      <c r="C501" t="s">
        <v>34</v>
      </c>
      <c r="D501" t="s">
        <v>40</v>
      </c>
      <c r="E501">
        <v>264</v>
      </c>
      <c r="F501">
        <v>343.2</v>
      </c>
      <c r="G501">
        <v>103</v>
      </c>
      <c r="H501">
        <v>10</v>
      </c>
      <c r="I501" t="s">
        <v>31</v>
      </c>
      <c r="J501" s="1">
        <v>46053</v>
      </c>
      <c r="K501" s="1">
        <v>46112</v>
      </c>
      <c r="L501" t="s">
        <v>23</v>
      </c>
      <c r="M501">
        <f>tblInventory[[#This Row],[Unit Cost]]*tblInventory[[#This Row],[Quantity in Stock]]</f>
        <v>27192</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4E7E-E1EC-7F44-B35F-907FC6158FE1}">
  <dimension ref="A3:K38"/>
  <sheetViews>
    <sheetView workbookViewId="0">
      <selection activeCell="D3" sqref="D3"/>
    </sheetView>
  </sheetViews>
  <sheetFormatPr baseColWidth="10" defaultRowHeight="16" x14ac:dyDescent="0.2"/>
  <cols>
    <col min="1" max="1" width="14.83203125" bestFit="1" customWidth="1"/>
    <col min="2" max="2" width="25" bestFit="1" customWidth="1"/>
    <col min="4" max="4" width="17" bestFit="1" customWidth="1"/>
    <col min="5" max="5" width="19.83203125" bestFit="1" customWidth="1"/>
    <col min="7" max="7" width="14.83203125" bestFit="1" customWidth="1"/>
    <col min="8" max="8" width="21.6640625" bestFit="1" customWidth="1"/>
    <col min="10" max="10" width="17" bestFit="1" customWidth="1"/>
    <col min="11" max="11" width="19.83203125" bestFit="1" customWidth="1"/>
  </cols>
  <sheetData>
    <row r="3" spans="1:11" x14ac:dyDescent="0.2">
      <c r="A3" s="2" t="s">
        <v>2</v>
      </c>
      <c r="B3" t="s">
        <v>552</v>
      </c>
      <c r="D3" s="2" t="s">
        <v>1</v>
      </c>
      <c r="E3" t="s">
        <v>554</v>
      </c>
      <c r="G3" s="2" t="s">
        <v>3</v>
      </c>
      <c r="H3" t="s">
        <v>554</v>
      </c>
      <c r="J3" s="2" t="s">
        <v>7</v>
      </c>
      <c r="K3" t="s">
        <v>555</v>
      </c>
    </row>
    <row r="4" spans="1:11" x14ac:dyDescent="0.2">
      <c r="A4" s="3" t="s">
        <v>29</v>
      </c>
      <c r="B4" s="8">
        <v>19264</v>
      </c>
      <c r="D4" s="3" t="s">
        <v>25</v>
      </c>
      <c r="E4" s="8">
        <v>1881681</v>
      </c>
      <c r="G4" s="3" t="s">
        <v>15</v>
      </c>
      <c r="H4" s="4">
        <v>5023139</v>
      </c>
      <c r="J4" s="3">
        <v>25</v>
      </c>
      <c r="K4" s="8">
        <v>80</v>
      </c>
    </row>
    <row r="5" spans="1:11" x14ac:dyDescent="0.2">
      <c r="A5" s="3" t="s">
        <v>34</v>
      </c>
      <c r="B5" s="8">
        <v>17263</v>
      </c>
      <c r="D5" s="3" t="s">
        <v>65</v>
      </c>
      <c r="E5" s="8">
        <v>1604487</v>
      </c>
      <c r="G5" s="3" t="s">
        <v>26</v>
      </c>
      <c r="H5" s="4">
        <v>4740056</v>
      </c>
      <c r="J5" s="3">
        <v>50</v>
      </c>
      <c r="K5" s="8">
        <v>73</v>
      </c>
    </row>
    <row r="6" spans="1:11" x14ac:dyDescent="0.2">
      <c r="A6" s="3" t="s">
        <v>14</v>
      </c>
      <c r="B6" s="8">
        <v>20390</v>
      </c>
      <c r="D6" s="3" t="s">
        <v>48</v>
      </c>
      <c r="E6" s="8">
        <v>1594931</v>
      </c>
      <c r="G6" s="3" t="s">
        <v>40</v>
      </c>
      <c r="H6" s="4">
        <v>4506503</v>
      </c>
      <c r="J6" s="3">
        <v>15</v>
      </c>
      <c r="K6" s="8">
        <v>71</v>
      </c>
    </row>
    <row r="7" spans="1:11" x14ac:dyDescent="0.2">
      <c r="A7" s="3" t="s">
        <v>22</v>
      </c>
      <c r="B7" s="8">
        <v>21050</v>
      </c>
      <c r="D7" s="3" t="s">
        <v>57</v>
      </c>
      <c r="E7" s="8">
        <v>1542491</v>
      </c>
      <c r="G7" s="3" t="s">
        <v>19</v>
      </c>
      <c r="H7" s="4">
        <v>4466422</v>
      </c>
      <c r="J7" s="3">
        <v>10</v>
      </c>
      <c r="K7" s="8">
        <v>71</v>
      </c>
    </row>
    <row r="8" spans="1:11" x14ac:dyDescent="0.2">
      <c r="A8" s="3" t="s">
        <v>551</v>
      </c>
      <c r="B8" s="8">
        <v>77967</v>
      </c>
      <c r="D8" s="3" t="s">
        <v>70</v>
      </c>
      <c r="E8" s="8">
        <v>1519237</v>
      </c>
      <c r="G8" s="3" t="s">
        <v>35</v>
      </c>
      <c r="H8" s="4">
        <v>4372978</v>
      </c>
      <c r="J8" s="3">
        <v>40</v>
      </c>
      <c r="K8" s="8">
        <v>70</v>
      </c>
    </row>
    <row r="9" spans="1:11" x14ac:dyDescent="0.2">
      <c r="D9" s="3" t="s">
        <v>63</v>
      </c>
      <c r="E9" s="8">
        <v>1516657</v>
      </c>
      <c r="G9" s="3" t="s">
        <v>30</v>
      </c>
      <c r="H9" s="4">
        <v>3309345</v>
      </c>
      <c r="J9" s="3">
        <v>30</v>
      </c>
      <c r="K9" s="8">
        <v>68</v>
      </c>
    </row>
    <row r="10" spans="1:11" x14ac:dyDescent="0.2">
      <c r="D10" s="3" t="s">
        <v>87</v>
      </c>
      <c r="E10" s="8">
        <v>1373564</v>
      </c>
      <c r="G10" s="3" t="s">
        <v>551</v>
      </c>
      <c r="H10" s="4">
        <v>26418443</v>
      </c>
      <c r="J10" s="3">
        <v>20</v>
      </c>
      <c r="K10" s="8">
        <v>67</v>
      </c>
    </row>
    <row r="11" spans="1:11" x14ac:dyDescent="0.2">
      <c r="A11" s="2" t="s">
        <v>8</v>
      </c>
      <c r="B11" t="s">
        <v>554</v>
      </c>
      <c r="D11" s="3" t="s">
        <v>104</v>
      </c>
      <c r="E11" s="8">
        <v>1358475</v>
      </c>
      <c r="J11" s="3" t="s">
        <v>551</v>
      </c>
      <c r="K11" s="8">
        <v>500</v>
      </c>
    </row>
    <row r="12" spans="1:11" x14ac:dyDescent="0.2">
      <c r="A12" s="3" t="s">
        <v>16</v>
      </c>
      <c r="B12" s="4">
        <v>9024972</v>
      </c>
      <c r="D12" s="3" t="s">
        <v>68</v>
      </c>
      <c r="E12" s="8">
        <v>1147495</v>
      </c>
    </row>
    <row r="13" spans="1:11" x14ac:dyDescent="0.2">
      <c r="A13" s="3" t="s">
        <v>31</v>
      </c>
      <c r="B13" s="4">
        <v>8256437</v>
      </c>
      <c r="D13" s="3" t="s">
        <v>28</v>
      </c>
      <c r="E13" s="8">
        <v>1133567</v>
      </c>
      <c r="G13" s="2" t="s">
        <v>8</v>
      </c>
      <c r="H13" t="s">
        <v>552</v>
      </c>
    </row>
    <row r="14" spans="1:11" x14ac:dyDescent="0.2">
      <c r="A14" s="3" t="s">
        <v>43</v>
      </c>
      <c r="B14" s="4">
        <v>9137034</v>
      </c>
      <c r="D14" s="3" t="s">
        <v>551</v>
      </c>
      <c r="E14" s="8">
        <v>14672585</v>
      </c>
      <c r="G14" s="3" t="s">
        <v>16</v>
      </c>
      <c r="H14" s="8">
        <v>28034</v>
      </c>
    </row>
    <row r="15" spans="1:11" x14ac:dyDescent="0.2">
      <c r="A15" s="3" t="s">
        <v>551</v>
      </c>
      <c r="B15" s="4">
        <v>26418443</v>
      </c>
      <c r="G15" s="3" t="s">
        <v>31</v>
      </c>
      <c r="H15" s="8">
        <v>24422</v>
      </c>
    </row>
    <row r="16" spans="1:11" x14ac:dyDescent="0.2">
      <c r="G16" s="3" t="s">
        <v>43</v>
      </c>
      <c r="H16" s="8">
        <v>25511</v>
      </c>
    </row>
    <row r="17" spans="1:8" x14ac:dyDescent="0.2">
      <c r="D17" s="2" t="s">
        <v>9</v>
      </c>
      <c r="E17" t="s">
        <v>555</v>
      </c>
      <c r="G17" s="3" t="s">
        <v>551</v>
      </c>
      <c r="H17" s="8">
        <v>77967</v>
      </c>
    </row>
    <row r="18" spans="1:8" x14ac:dyDescent="0.2">
      <c r="D18" s="3" t="s">
        <v>556</v>
      </c>
      <c r="E18" s="8">
        <v>336</v>
      </c>
    </row>
    <row r="19" spans="1:8" x14ac:dyDescent="0.2">
      <c r="A19" s="2" t="s">
        <v>11</v>
      </c>
      <c r="B19" t="s">
        <v>555</v>
      </c>
      <c r="D19" s="5" t="s">
        <v>558</v>
      </c>
      <c r="E19" s="8">
        <v>26</v>
      </c>
    </row>
    <row r="20" spans="1:8" x14ac:dyDescent="0.2">
      <c r="A20" s="3" t="s">
        <v>23</v>
      </c>
      <c r="B20" s="8">
        <v>458</v>
      </c>
      <c r="D20" s="5" t="s">
        <v>559</v>
      </c>
      <c r="E20" s="8">
        <v>23</v>
      </c>
      <c r="G20" s="2" t="s">
        <v>2</v>
      </c>
      <c r="H20" t="s">
        <v>564</v>
      </c>
    </row>
    <row r="21" spans="1:8" x14ac:dyDescent="0.2">
      <c r="A21" s="3" t="s">
        <v>17</v>
      </c>
      <c r="B21" s="8">
        <v>40</v>
      </c>
      <c r="D21" s="5" t="s">
        <v>560</v>
      </c>
      <c r="E21" s="8">
        <v>33</v>
      </c>
      <c r="G21" s="3" t="s">
        <v>34</v>
      </c>
      <c r="H21" s="6">
        <v>472.57889908256885</v>
      </c>
    </row>
    <row r="22" spans="1:8" x14ac:dyDescent="0.2">
      <c r="A22" s="3" t="s">
        <v>323</v>
      </c>
      <c r="B22" s="8">
        <v>2</v>
      </c>
      <c r="D22" s="5" t="s">
        <v>561</v>
      </c>
      <c r="E22" s="8">
        <v>32</v>
      </c>
      <c r="G22" s="3" t="s">
        <v>14</v>
      </c>
      <c r="H22" s="6">
        <v>468.09179104477607</v>
      </c>
    </row>
    <row r="23" spans="1:8" x14ac:dyDescent="0.2">
      <c r="A23" s="3" t="s">
        <v>551</v>
      </c>
      <c r="B23" s="8">
        <v>500</v>
      </c>
      <c r="D23" s="5" t="s">
        <v>562</v>
      </c>
      <c r="E23" s="8">
        <v>37</v>
      </c>
      <c r="G23" s="3" t="s">
        <v>29</v>
      </c>
      <c r="H23" s="6">
        <v>449.34800000000001</v>
      </c>
    </row>
    <row r="24" spans="1:8" x14ac:dyDescent="0.2">
      <c r="D24" s="5" t="s">
        <v>563</v>
      </c>
      <c r="E24" s="8">
        <v>24</v>
      </c>
      <c r="G24" s="3" t="s">
        <v>22</v>
      </c>
      <c r="H24" s="6">
        <v>445.48106060606085</v>
      </c>
    </row>
    <row r="25" spans="1:8" x14ac:dyDescent="0.2">
      <c r="D25" s="5" t="s">
        <v>568</v>
      </c>
      <c r="E25" s="8">
        <v>31</v>
      </c>
      <c r="G25" s="3" t="s">
        <v>551</v>
      </c>
      <c r="H25" s="6">
        <v>458.41480000000013</v>
      </c>
    </row>
    <row r="26" spans="1:8" x14ac:dyDescent="0.2">
      <c r="D26" s="5" t="s">
        <v>569</v>
      </c>
      <c r="E26" s="8">
        <v>29</v>
      </c>
    </row>
    <row r="27" spans="1:8" x14ac:dyDescent="0.2">
      <c r="D27" s="5" t="s">
        <v>570</v>
      </c>
      <c r="E27" s="8">
        <v>21</v>
      </c>
    </row>
    <row r="28" spans="1:8" x14ac:dyDescent="0.2">
      <c r="D28" s="5" t="s">
        <v>571</v>
      </c>
      <c r="E28" s="8">
        <v>26</v>
      </c>
    </row>
    <row r="29" spans="1:8" x14ac:dyDescent="0.2">
      <c r="D29" s="5" t="s">
        <v>572</v>
      </c>
      <c r="E29" s="8">
        <v>23</v>
      </c>
    </row>
    <row r="30" spans="1:8" x14ac:dyDescent="0.2">
      <c r="D30" s="5" t="s">
        <v>573</v>
      </c>
      <c r="E30" s="8">
        <v>31</v>
      </c>
    </row>
    <row r="31" spans="1:8" x14ac:dyDescent="0.2">
      <c r="D31" s="3" t="s">
        <v>557</v>
      </c>
      <c r="E31" s="8">
        <v>164</v>
      </c>
    </row>
    <row r="32" spans="1:8" x14ac:dyDescent="0.2">
      <c r="D32" s="5" t="s">
        <v>558</v>
      </c>
      <c r="E32" s="8">
        <v>38</v>
      </c>
    </row>
    <row r="33" spans="4:5" x14ac:dyDescent="0.2">
      <c r="D33" s="5" t="s">
        <v>559</v>
      </c>
      <c r="E33" s="8">
        <v>31</v>
      </c>
    </row>
    <row r="34" spans="4:5" x14ac:dyDescent="0.2">
      <c r="D34" s="5" t="s">
        <v>560</v>
      </c>
      <c r="E34" s="8">
        <v>31</v>
      </c>
    </row>
    <row r="35" spans="4:5" x14ac:dyDescent="0.2">
      <c r="D35" s="5" t="s">
        <v>561</v>
      </c>
      <c r="E35" s="8">
        <v>31</v>
      </c>
    </row>
    <row r="36" spans="4:5" x14ac:dyDescent="0.2">
      <c r="D36" s="5" t="s">
        <v>562</v>
      </c>
      <c r="E36" s="8">
        <v>24</v>
      </c>
    </row>
    <row r="37" spans="4:5" x14ac:dyDescent="0.2">
      <c r="D37" s="5" t="s">
        <v>563</v>
      </c>
      <c r="E37" s="8">
        <v>9</v>
      </c>
    </row>
    <row r="38" spans="4:5" x14ac:dyDescent="0.2">
      <c r="D38" s="3" t="s">
        <v>551</v>
      </c>
      <c r="E38" s="8">
        <v>500</v>
      </c>
    </row>
  </sheetData>
  <sortState xmlns:xlrd2="http://schemas.microsoft.com/office/spreadsheetml/2017/richdata2" ref="D3:E27">
    <sortCondition ref="D5"/>
  </sortStat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2502-EC3A-F64C-95B1-FB7C66C096F1}">
  <dimension ref="A1:W47"/>
  <sheetViews>
    <sheetView showGridLines="0" showRowColHeaders="0" tabSelected="1" zoomScale="70" zoomScaleNormal="70" workbookViewId="0">
      <selection activeCell="S23" sqref="S23"/>
    </sheetView>
  </sheetViews>
  <sheetFormatPr baseColWidth="10" defaultRowHeight="16" x14ac:dyDescent="0.2"/>
  <cols>
    <col min="1" max="3" width="10.83203125" style="9"/>
    <col min="4" max="4" width="11.1640625" style="9" customWidth="1"/>
    <col min="5" max="16384" width="10.83203125" style="9"/>
  </cols>
  <sheetData>
    <row r="1" spans="1:17" ht="32" x14ac:dyDescent="0.4">
      <c r="A1" s="7" t="s">
        <v>565</v>
      </c>
      <c r="B1" s="7"/>
      <c r="C1" s="7"/>
      <c r="D1" s="7"/>
      <c r="E1" s="7"/>
      <c r="F1" s="7"/>
      <c r="G1" s="7"/>
      <c r="H1" s="7"/>
      <c r="I1" s="7"/>
      <c r="J1" s="7"/>
      <c r="K1" s="7"/>
      <c r="L1" s="7"/>
      <c r="M1" s="7"/>
      <c r="N1" s="7"/>
      <c r="O1" s="7"/>
      <c r="P1" s="7"/>
      <c r="Q1" s="7"/>
    </row>
    <row r="3" spans="1:17" ht="16" customHeight="1" x14ac:dyDescent="0.2">
      <c r="A3" s="10" t="s">
        <v>566</v>
      </c>
      <c r="B3" s="11"/>
      <c r="C3" s="10" t="s">
        <v>553</v>
      </c>
      <c r="D3" s="11"/>
      <c r="E3" s="10" t="s">
        <v>567</v>
      </c>
      <c r="F3" s="11"/>
      <c r="G3" s="10" t="s">
        <v>23</v>
      </c>
      <c r="H3" s="11"/>
      <c r="I3" s="10" t="s">
        <v>17</v>
      </c>
      <c r="J3" s="11"/>
      <c r="K3" s="10" t="s">
        <v>323</v>
      </c>
      <c r="L3" s="11"/>
    </row>
    <row r="4" spans="1:17" ht="16" customHeight="1" x14ac:dyDescent="0.2">
      <c r="A4" s="12"/>
      <c r="B4" s="13"/>
      <c r="C4" s="12"/>
      <c r="D4" s="13"/>
      <c r="E4" s="12"/>
      <c r="F4" s="13"/>
      <c r="G4" s="12"/>
      <c r="H4" s="13"/>
      <c r="I4" s="12"/>
      <c r="J4" s="13"/>
      <c r="K4" s="12"/>
      <c r="L4" s="13"/>
    </row>
    <row r="5" spans="1:17" ht="25" x14ac:dyDescent="0.25">
      <c r="A5" s="14">
        <f>'Pivot Tables'!B23</f>
        <v>500</v>
      </c>
      <c r="B5" s="15"/>
      <c r="C5" s="16">
        <f>'Pivot Tables'!B15</f>
        <v>26418443</v>
      </c>
      <c r="D5" s="17"/>
      <c r="E5" s="16">
        <f>'Pivot Tables'!B8</f>
        <v>77967</v>
      </c>
      <c r="F5" s="17"/>
      <c r="G5" s="14">
        <f>'Pivot Tables'!B20</f>
        <v>458</v>
      </c>
      <c r="H5" s="15"/>
      <c r="I5" s="14">
        <f>'Pivot Tables'!B21</f>
        <v>40</v>
      </c>
      <c r="J5" s="15"/>
      <c r="K5" s="14">
        <f>'Pivot Tables'!B22</f>
        <v>2</v>
      </c>
      <c r="L5" s="15"/>
    </row>
    <row r="22" spans="23:23" x14ac:dyDescent="0.2">
      <c r="W22" s="9" t="s">
        <v>574</v>
      </c>
    </row>
    <row r="46" spans="3:5" x14ac:dyDescent="0.2">
      <c r="C46" s="18"/>
      <c r="E46" s="18"/>
    </row>
    <row r="47" spans="3:5" x14ac:dyDescent="0.2">
      <c r="C47" s="18"/>
      <c r="E47" s="18"/>
    </row>
  </sheetData>
  <mergeCells count="13">
    <mergeCell ref="A1:Q1"/>
    <mergeCell ref="I3:J4"/>
    <mergeCell ref="I5:J5"/>
    <mergeCell ref="K3:L4"/>
    <mergeCell ref="K5:L5"/>
    <mergeCell ref="A3:B4"/>
    <mergeCell ref="A5:B5"/>
    <mergeCell ref="C3:D4"/>
    <mergeCell ref="C5:D5"/>
    <mergeCell ref="E3:F4"/>
    <mergeCell ref="E5:F5"/>
    <mergeCell ref="G3:H4"/>
    <mergeCell ref="G5:H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Inventory_Management_Raw_Data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Dsouza</dc:creator>
  <cp:lastModifiedBy>Joyce Dsouza</cp:lastModifiedBy>
  <cp:lastPrinted>2026-08-01T22:23:09Z</cp:lastPrinted>
  <dcterms:created xsi:type="dcterms:W3CDTF">2026-07-28T17:35:05Z</dcterms:created>
  <dcterms:modified xsi:type="dcterms:W3CDTF">2026-08-01T22:45:03Z</dcterms:modified>
</cp:coreProperties>
</file>